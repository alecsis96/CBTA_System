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15" windowWidth="23475" windowHeight="976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N563" i="1" l="1"/>
  <c r="N562" i="1"/>
  <c r="N561" i="1"/>
  <c r="N564" i="1" s="1"/>
  <c r="E558" i="1" s="1"/>
  <c r="N530" i="1"/>
  <c r="N531" i="1" s="1"/>
  <c r="E525" i="1" s="1"/>
  <c r="N529" i="1"/>
  <c r="N528" i="1"/>
  <c r="N495" i="1"/>
  <c r="N496" i="1" s="1"/>
  <c r="N494" i="1"/>
  <c r="N493" i="1"/>
  <c r="N463" i="1"/>
  <c r="N462" i="1"/>
  <c r="N461" i="1"/>
  <c r="N460" i="1"/>
  <c r="N428" i="1"/>
  <c r="N427" i="1"/>
  <c r="N426" i="1"/>
  <c r="N425" i="1"/>
  <c r="E422" i="1"/>
  <c r="N394" i="1"/>
  <c r="N393" i="1"/>
  <c r="N392" i="1"/>
  <c r="N359" i="1"/>
  <c r="N358" i="1"/>
  <c r="N357" i="1"/>
  <c r="N326" i="1"/>
  <c r="N325" i="1"/>
  <c r="N324" i="1"/>
  <c r="N291" i="1"/>
  <c r="N290" i="1"/>
  <c r="N289" i="1"/>
  <c r="N258" i="1"/>
  <c r="N259" i="1" s="1"/>
  <c r="E253" i="1" s="1"/>
  <c r="N257" i="1"/>
  <c r="N256" i="1"/>
  <c r="N222" i="1"/>
  <c r="N223" i="1" s="1"/>
  <c r="N221" i="1"/>
  <c r="N220" i="1"/>
  <c r="N189" i="1"/>
  <c r="N190" i="1" s="1"/>
  <c r="N188" i="1"/>
  <c r="N187" i="1"/>
  <c r="N156" i="1"/>
  <c r="N157" i="1" s="1"/>
  <c r="E151" i="1" s="1"/>
  <c r="N155" i="1"/>
  <c r="N154" i="1"/>
  <c r="N55" i="1"/>
  <c r="N54" i="1"/>
  <c r="N53" i="1"/>
  <c r="N22" i="1"/>
  <c r="N21" i="1"/>
  <c r="N20" i="1"/>
  <c r="N23" i="1" s="1"/>
  <c r="N327" i="1" l="1"/>
  <c r="N292" i="1"/>
  <c r="E286" i="1" s="1"/>
  <c r="N395" i="1"/>
  <c r="E389" i="1" s="1"/>
  <c r="N56" i="1"/>
  <c r="N360" i="1"/>
</calcChain>
</file>

<file path=xl/sharedStrings.xml><?xml version="1.0" encoding="utf-8"?>
<sst xmlns="http://schemas.openxmlformats.org/spreadsheetml/2006/main" count="603" uniqueCount="80">
  <si>
    <t>SUBSECRETARÍA DE EDUCACIÓN MEDIA SUPERIOR</t>
  </si>
  <si>
    <t>UR</t>
  </si>
  <si>
    <t>RECIBO No.</t>
  </si>
  <si>
    <t xml:space="preserve">                                Dirección General de  Educación Tecnologica Agropecuaria y Ciencias del Mar</t>
  </si>
  <si>
    <t>DGETAYCM 1128109</t>
  </si>
  <si>
    <t>RECIBO OFICIAL DE COBRO</t>
  </si>
  <si>
    <t>R.F.C. SEP 210905778</t>
  </si>
  <si>
    <t>FECHA</t>
  </si>
  <si>
    <t>ENTIDAD FEDERATIVA</t>
  </si>
  <si>
    <t>AVENIDA REPÚBLICA DE ARGENTINA, NUMERO EXTERIOR 28, NUMERO INTERIOR: OFICINA 1044</t>
  </si>
  <si>
    <t>07</t>
  </si>
  <si>
    <t>COLONIA, CENTRO, C.P. 06010, DELEGACIÓN: CUAUHTÉMOC, ENTIDAD FEDERATIVA: CIUDAD DE MÉXICO</t>
  </si>
  <si>
    <t>RECIBI DE</t>
  </si>
  <si>
    <t xml:space="preserve">          GUZMAN                    MORENO                     EVER OSIEL</t>
  </si>
  <si>
    <t>R.F.C. y/o MATRICULA</t>
  </si>
  <si>
    <t>APELLIDO PATERNO</t>
  </si>
  <si>
    <t>APELLIDO MATERNO</t>
  </si>
  <si>
    <t>NOMBRE (S)</t>
  </si>
  <si>
    <t xml:space="preserve"> </t>
  </si>
  <si>
    <t>BARRIO SANTA TERESITA 2A. SECCION YAJALON, CHIAPAS</t>
  </si>
  <si>
    <t>EGRESADO</t>
  </si>
  <si>
    <t>DOMICILIO</t>
  </si>
  <si>
    <t>GRADO</t>
  </si>
  <si>
    <t>GRUPO</t>
  </si>
  <si>
    <t>TURNO</t>
  </si>
  <si>
    <t>B TA CNEYT</t>
  </si>
  <si>
    <t>LA CANTIDAD DE $</t>
  </si>
  <si>
    <t>(TRESCIENTOS SETENTA Y DOS PESOS,00/100   M. N. )</t>
  </si>
  <si>
    <t>CANTIDAD</t>
  </si>
  <si>
    <t>CLAVE</t>
  </si>
  <si>
    <t>C O N C E P T O</t>
  </si>
  <si>
    <t>C U O T A</t>
  </si>
  <si>
    <t>IMPORTE</t>
  </si>
  <si>
    <t>B002</t>
  </si>
  <si>
    <t>APORT.COOP. Y DONAC. AL PLANTEL</t>
  </si>
  <si>
    <t>(DONACION)</t>
  </si>
  <si>
    <t>TOTAL</t>
  </si>
  <si>
    <t>NOMBRE Y FIRMA DEL CAJERO</t>
  </si>
  <si>
    <t>SELLO Y DATOS IMPRESOS DE LA ESCUELA</t>
  </si>
  <si>
    <t>ING. GUILLERMO DIAZ GOMEZ</t>
  </si>
  <si>
    <t xml:space="preserve">                              Dirección General de  Educación Tecnologica Agropecuaria y Ciencias del Mar</t>
  </si>
  <si>
    <t>DGETAYCM 1128110</t>
  </si>
  <si>
    <t xml:space="preserve">         MORALES                MARTINEZ                   DORA MARIELA </t>
  </si>
  <si>
    <t>AV. CENTRAL ORIENTE S/N BARRIO LINDA VISTA YAJALON, CHIAPAS</t>
  </si>
  <si>
    <t>6o.</t>
  </si>
  <si>
    <t>M</t>
  </si>
  <si>
    <t>(CIEN PESOS,00/100   M. N. )</t>
  </si>
  <si>
    <t>(PERIODO: FEBRERO - JULIO /2026)</t>
  </si>
  <si>
    <t>Dirección General de  Educación Tecnologica Agropecuaria y Ciencias del Mar</t>
  </si>
  <si>
    <t>DGETAYCM 0197980</t>
  </si>
  <si>
    <t xml:space="preserve">                 CRUZ                                 GOMEZ                                      DALIA ANAHI</t>
  </si>
  <si>
    <t>DOMICILIO CONOCIDO</t>
  </si>
  <si>
    <t>6°</t>
  </si>
  <si>
    <t>A QB</t>
  </si>
  <si>
    <t>(CIENTO CINCUENTA  PESOS,00/100   M. N. )</t>
  </si>
  <si>
    <t>PERIODO FEB-JUL 22</t>
  </si>
  <si>
    <t>ING. ARNY MORALES VILLAFUERTE</t>
  </si>
  <si>
    <t>DGETAYCM 0197981</t>
  </si>
  <si>
    <t>4°</t>
  </si>
  <si>
    <t xml:space="preserve">B  TO </t>
  </si>
  <si>
    <t>(CIENTO CINCUENTA PESOS,00/100   M. N. )</t>
  </si>
  <si>
    <t>(DONACION )</t>
  </si>
  <si>
    <t>PERIODO  FEBRERO - JULIO  2022</t>
  </si>
  <si>
    <t xml:space="preserve">            </t>
  </si>
  <si>
    <t>DGETAYCM 0197982</t>
  </si>
  <si>
    <t>B QB</t>
  </si>
  <si>
    <t>5°</t>
  </si>
  <si>
    <t>A TO</t>
  </si>
  <si>
    <t>C. CLAUDIA PATRICIA TORRES SUAREZ</t>
  </si>
  <si>
    <t>DGETAYCM 0197984</t>
  </si>
  <si>
    <t>B TO</t>
  </si>
  <si>
    <t>DGETAYCM 0197985</t>
  </si>
  <si>
    <t>DGETAYCM 0197986</t>
  </si>
  <si>
    <t>DGETAYCM 0197987</t>
  </si>
  <si>
    <t>DGETAYCM 0197988</t>
  </si>
  <si>
    <t>DGETAYCM 0197989</t>
  </si>
  <si>
    <t>DGETAYCM 0197977</t>
  </si>
  <si>
    <t>TORIJA</t>
  </si>
  <si>
    <t>TRUJILLO</t>
  </si>
  <si>
    <t>ROBERTO ALEJANDRO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</si>
</sst>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C0A]dd\-mmm\-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Arial Narrow"/>
      <family val="2"/>
    </font>
    <font>
      <b/>
      <sz val="10"/>
      <name val="Arial"/>
      <family val="2"/>
    </font>
    <font>
      <b/>
      <sz val="8"/>
      <name val="Arial"/>
      <family val="2"/>
    </font>
    <font>
      <sz val="7"/>
      <color rgb="FF000000"/>
      <name val="Arial Narrow"/>
      <family val="2"/>
    </font>
    <font>
      <b/>
      <sz val="14"/>
      <color rgb="FF000000"/>
      <name val="Arial"/>
      <family val="2"/>
    </font>
    <font>
      <sz val="7"/>
      <color rgb="FF000000"/>
      <name val="Arial"/>
      <family val="2"/>
    </font>
    <font>
      <sz val="6"/>
      <color rgb="FF00000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133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0" fillId="2" borderId="7" xfId="0" applyFill="1" applyBorder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9" xfId="0" applyFont="1" applyFill="1" applyBorder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 vertical="center" readingOrder="1"/>
      <protection locked="0"/>
    </xf>
    <xf numFmtId="0" fontId="1" fillId="2" borderId="1" xfId="0" applyFont="1" applyFill="1" applyBorder="1"/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/>
    </xf>
    <xf numFmtId="0" fontId="4" fillId="2" borderId="8" xfId="0" applyFont="1" applyFill="1" applyBorder="1" applyAlignment="1" applyProtection="1">
      <alignment horizontal="center"/>
    </xf>
    <xf numFmtId="0" fontId="4" fillId="2" borderId="9" xfId="0" applyFont="1" applyFill="1" applyBorder="1" applyAlignment="1" applyProtection="1">
      <alignment horizontal="center"/>
    </xf>
    <xf numFmtId="0" fontId="8" fillId="2" borderId="0" xfId="0" applyFont="1" applyFill="1" applyAlignment="1" applyProtection="1">
      <alignment vertical="center"/>
      <protection locked="0"/>
    </xf>
    <xf numFmtId="164" fontId="1" fillId="2" borderId="1" xfId="0" applyNumberFormat="1" applyFont="1" applyFill="1" applyBorder="1" applyAlignment="1" applyProtection="1">
      <alignment horizontal="center"/>
    </xf>
    <xf numFmtId="164" fontId="0" fillId="2" borderId="8" xfId="0" applyNumberFormat="1" applyFill="1" applyBorder="1" applyAlignment="1" applyProtection="1">
      <alignment horizontal="center"/>
    </xf>
    <xf numFmtId="164" fontId="0" fillId="2" borderId="9" xfId="0" applyNumberFormat="1" applyFill="1" applyBorder="1" applyAlignment="1" applyProtection="1">
      <alignment horizontal="center"/>
    </xf>
    <xf numFmtId="0" fontId="9" fillId="2" borderId="1" xfId="0" quotePrefix="1" applyFont="1" applyFill="1" applyBorder="1" applyAlignment="1" applyProtection="1">
      <alignment horizontal="center"/>
      <protection locked="0"/>
    </xf>
    <xf numFmtId="0" fontId="9" fillId="2" borderId="9" xfId="0" quotePrefix="1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2" borderId="9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9" fillId="2" borderId="6" xfId="0" applyFont="1" applyFill="1" applyBorder="1" applyProtection="1">
      <protection locked="0"/>
    </xf>
    <xf numFmtId="1" fontId="1" fillId="2" borderId="1" xfId="0" applyNumberFormat="1" applyFont="1" applyFill="1" applyBorder="1" applyAlignment="1" applyProtection="1">
      <alignment horizontal="center"/>
      <protection locked="0"/>
    </xf>
    <xf numFmtId="1" fontId="1" fillId="2" borderId="8" xfId="0" applyNumberFormat="1" applyFont="1" applyFill="1" applyBorder="1" applyAlignment="1" applyProtection="1">
      <alignment horizontal="center"/>
      <protection locked="0"/>
    </xf>
    <xf numFmtId="1" fontId="1" fillId="2" borderId="9" xfId="0" applyNumberFormat="1" applyFont="1" applyFill="1" applyBorder="1" applyAlignment="1" applyProtection="1">
      <alignment horizontal="center"/>
      <protection locked="0"/>
    </xf>
    <xf numFmtId="0" fontId="1" fillId="2" borderId="5" xfId="0" applyFont="1" applyFill="1" applyBorder="1" applyProtection="1"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2" xfId="0" applyFont="1" applyFill="1" applyBorder="1" applyAlignment="1" applyProtection="1">
      <alignment horizontal="center"/>
      <protection locked="0"/>
    </xf>
    <xf numFmtId="0" fontId="12" fillId="0" borderId="13" xfId="0" applyFont="1" applyBorder="1" applyAlignment="1">
      <alignment horizontal="center"/>
    </xf>
    <xf numFmtId="0" fontId="1" fillId="2" borderId="12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0" fillId="2" borderId="8" xfId="0" applyFill="1" applyBorder="1" applyAlignment="1" applyProtection="1">
      <alignment vertical="center"/>
      <protection locked="0"/>
    </xf>
    <xf numFmtId="4" fontId="3" fillId="2" borderId="9" xfId="0" applyNumberFormat="1" applyFont="1" applyFill="1" applyBorder="1" applyAlignment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8" xfId="0" applyFont="1" applyFill="1" applyBorder="1" applyAlignment="1" applyProtection="1">
      <alignment horizontal="center" vertical="center"/>
      <protection locked="0"/>
    </xf>
    <xf numFmtId="0" fontId="12" fillId="2" borderId="9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locked="0"/>
    </xf>
    <xf numFmtId="0" fontId="12" fillId="2" borderId="13" xfId="0" applyFont="1" applyFill="1" applyBorder="1" applyAlignment="1" applyProtection="1">
      <alignment horizontal="center"/>
      <protection locked="0"/>
    </xf>
    <xf numFmtId="0" fontId="12" fillId="2" borderId="10" xfId="0" applyFont="1" applyFill="1" applyBorder="1" applyProtection="1">
      <protection locked="0"/>
    </xf>
    <xf numFmtId="0" fontId="12" fillId="2" borderId="11" xfId="0" applyFont="1" applyFill="1" applyBorder="1" applyProtection="1">
      <protection locked="0"/>
    </xf>
    <xf numFmtId="0" fontId="12" fillId="2" borderId="12" xfId="0" applyFont="1" applyFill="1" applyBorder="1" applyProtection="1">
      <protection locked="0"/>
    </xf>
    <xf numFmtId="4" fontId="12" fillId="2" borderId="10" xfId="0" applyNumberFormat="1" applyFont="1" applyFill="1" applyBorder="1" applyAlignment="1" applyProtection="1">
      <alignment horizontal="right"/>
      <protection locked="0"/>
    </xf>
    <xf numFmtId="4" fontId="12" fillId="2" borderId="11" xfId="0" applyNumberFormat="1" applyFont="1" applyFill="1" applyBorder="1" applyAlignment="1" applyProtection="1">
      <alignment horizontal="right"/>
      <protection locked="0"/>
    </xf>
    <xf numFmtId="4" fontId="12" fillId="2" borderId="12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Border="1" applyAlignment="1" applyProtection="1">
      <protection locked="0"/>
    </xf>
    <xf numFmtId="4" fontId="12" fillId="2" borderId="10" xfId="0" applyNumberFormat="1" applyFont="1" applyFill="1" applyBorder="1" applyAlignment="1" applyProtection="1">
      <alignment horizontal="center"/>
      <protection locked="0"/>
    </xf>
    <xf numFmtId="4" fontId="12" fillId="2" borderId="12" xfId="0" applyNumberFormat="1" applyFont="1" applyFill="1" applyBorder="1" applyAlignment="1" applyProtection="1">
      <alignment horizontal="center"/>
      <protection locked="0"/>
    </xf>
    <xf numFmtId="0" fontId="12" fillId="2" borderId="2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Protection="1">
      <protection locked="0"/>
    </xf>
    <xf numFmtId="0" fontId="12" fillId="2" borderId="8" xfId="0" applyFont="1" applyFill="1" applyBorder="1" applyProtection="1">
      <protection locked="0"/>
    </xf>
    <xf numFmtId="0" fontId="12" fillId="2" borderId="9" xfId="0" applyFont="1" applyFill="1" applyBorder="1" applyProtection="1">
      <protection locked="0"/>
    </xf>
    <xf numFmtId="4" fontId="12" fillId="2" borderId="1" xfId="0" applyNumberFormat="1" applyFont="1" applyFill="1" applyBorder="1" applyAlignment="1" applyProtection="1">
      <alignment horizontal="right"/>
      <protection locked="0"/>
    </xf>
    <xf numFmtId="4" fontId="12" fillId="2" borderId="8" xfId="0" applyNumberFormat="1" applyFont="1" applyFill="1" applyBorder="1" applyAlignment="1" applyProtection="1">
      <alignment horizontal="right"/>
      <protection locked="0"/>
    </xf>
    <xf numFmtId="4" fontId="12" fillId="2" borderId="9" xfId="0" applyNumberFormat="1" applyFont="1" applyFill="1" applyBorder="1" applyAlignment="1" applyProtection="1">
      <alignment horizontal="right"/>
      <protection locked="0"/>
    </xf>
    <xf numFmtId="0" fontId="12" fillId="2" borderId="0" xfId="0" applyFont="1" applyFill="1" applyBorder="1" applyProtection="1">
      <protection locked="0"/>
    </xf>
    <xf numFmtId="4" fontId="12" fillId="2" borderId="1" xfId="0" applyNumberFormat="1" applyFont="1" applyFill="1" applyBorder="1" applyAlignment="1" applyProtection="1">
      <alignment horizontal="center"/>
      <protection locked="0"/>
    </xf>
    <xf numFmtId="4" fontId="12" fillId="2" borderId="9" xfId="0" applyNumberFormat="1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4" fontId="12" fillId="2" borderId="0" xfId="0" applyNumberFormat="1" applyFont="1" applyFill="1" applyBorder="1" applyAlignment="1" applyProtection="1">
      <alignment horizontal="right"/>
      <protection locked="0"/>
    </xf>
    <xf numFmtId="4" fontId="13" fillId="2" borderId="0" xfId="0" applyNumberFormat="1" applyFont="1" applyFill="1" applyBorder="1" applyAlignment="1" applyProtection="1">
      <alignment horizontal="right"/>
      <protection locked="0"/>
    </xf>
    <xf numFmtId="4" fontId="13" fillId="2" borderId="5" xfId="0" applyNumberFormat="1" applyFont="1" applyFill="1" applyBorder="1" applyAlignment="1" applyProtection="1">
      <alignment horizontal="center"/>
      <protection locked="0"/>
    </xf>
    <xf numFmtId="0" fontId="14" fillId="2" borderId="4" xfId="0" applyFont="1" applyFill="1" applyBorder="1" applyAlignment="1" applyProtection="1">
      <alignment horizontal="center"/>
      <protection locked="0"/>
    </xf>
    <xf numFmtId="0" fontId="14" fillId="2" borderId="5" xfId="0" applyFont="1" applyFill="1" applyBorder="1" applyAlignment="1" applyProtection="1">
      <alignment horizontal="center"/>
      <protection locked="0"/>
    </xf>
    <xf numFmtId="0" fontId="14" fillId="2" borderId="3" xfId="0" applyFont="1" applyFill="1" applyBorder="1" applyAlignment="1" applyProtection="1">
      <alignment horizontal="center"/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0" fontId="12" fillId="2" borderId="6" xfId="0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12" fillId="2" borderId="7" xfId="0" applyFont="1" applyFill="1" applyBorder="1" applyAlignment="1" applyProtection="1">
      <alignment horizontal="center"/>
      <protection locked="0"/>
    </xf>
    <xf numFmtId="0" fontId="12" fillId="2" borderId="1" xfId="0" quotePrefix="1" applyFont="1" applyFill="1" applyBorder="1" applyAlignment="1" applyProtection="1">
      <alignment horizontal="center"/>
      <protection locked="0"/>
    </xf>
    <xf numFmtId="0" fontId="12" fillId="2" borderId="9" xfId="0" quotePrefix="1" applyFont="1" applyFill="1" applyBorder="1" applyAlignment="1" applyProtection="1">
      <alignment horizontal="center"/>
      <protection locked="0"/>
    </xf>
    <xf numFmtId="1" fontId="10" fillId="2" borderId="1" xfId="0" applyNumberFormat="1" applyFont="1" applyFill="1" applyBorder="1" applyAlignment="1" applyProtection="1">
      <alignment horizontal="center"/>
      <protection locked="0"/>
    </xf>
    <xf numFmtId="1" fontId="10" fillId="2" borderId="8" xfId="0" applyNumberFormat="1" applyFont="1" applyFill="1" applyBorder="1" applyAlignment="1" applyProtection="1">
      <alignment horizontal="center"/>
      <protection locked="0"/>
    </xf>
    <xf numFmtId="1" fontId="10" fillId="2" borderId="9" xfId="0" applyNumberFormat="1" applyFont="1" applyFill="1" applyBorder="1" applyAlignment="1" applyProtection="1">
      <alignment horizontal="center"/>
      <protection locked="0"/>
    </xf>
    <xf numFmtId="0" fontId="1" fillId="0" borderId="13" xfId="0" applyFont="1" applyBorder="1" applyAlignment="1">
      <alignment horizontal="center"/>
    </xf>
    <xf numFmtId="0" fontId="0" fillId="0" borderId="0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7" xfId="0" applyBorder="1" applyProtection="1">
      <protection locked="0"/>
    </xf>
    <xf numFmtId="0" fontId="5" fillId="2" borderId="0" xfId="0" applyFont="1" applyFill="1" applyAlignment="1" applyProtection="1">
      <alignment horizontal="right" vertical="center"/>
      <protection locked="0"/>
    </xf>
    <xf numFmtId="0" fontId="5" fillId="2" borderId="7" xfId="0" applyFont="1" applyFill="1" applyBorder="1" applyAlignment="1" applyProtection="1">
      <alignment horizontal="right" vertic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/>
      <protection locked="0"/>
    </xf>
    <xf numFmtId="0" fontId="9" fillId="2" borderId="9" xfId="0" applyFont="1" applyFill="1" applyBorder="1" applyAlignment="1" applyProtection="1">
      <alignment horizont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/>
    </xf>
    <xf numFmtId="0" fontId="4" fillId="2" borderId="5" xfId="0" applyFont="1" applyFill="1" applyBorder="1" applyAlignment="1" applyProtection="1">
      <alignment horizontal="center"/>
    </xf>
    <xf numFmtId="0" fontId="4" fillId="2" borderId="3" xfId="0" applyFont="1" applyFill="1" applyBorder="1" applyAlignment="1" applyProtection="1">
      <alignment horizontal="center"/>
    </xf>
    <xf numFmtId="164" fontId="0" fillId="2" borderId="1" xfId="0" applyNumberFormat="1" applyFill="1" applyBorder="1" applyAlignment="1" applyProtection="1">
      <alignment horizontal="center"/>
    </xf>
    <xf numFmtId="0" fontId="1" fillId="2" borderId="8" xfId="0" applyFont="1" applyFill="1" applyBorder="1" applyAlignment="1" applyProtection="1">
      <alignment horizontal="center"/>
      <protection locked="0"/>
    </xf>
    <xf numFmtId="0" fontId="4" fillId="2" borderId="10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1" fontId="9" fillId="2" borderId="1" xfId="0" applyNumberFormat="1" applyFont="1" applyFill="1" applyBorder="1" applyAlignment="1" applyProtection="1">
      <alignment horizontal="center"/>
      <protection locked="0"/>
    </xf>
    <xf numFmtId="1" fontId="9" fillId="2" borderId="8" xfId="0" applyNumberFormat="1" applyFont="1" applyFill="1" applyBorder="1" applyAlignment="1" applyProtection="1">
      <alignment horizontal="center"/>
      <protection locked="0"/>
    </xf>
    <xf numFmtId="1" fontId="9" fillId="2" borderId="9" xfId="0" applyNumberFormat="1" applyFont="1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0" fontId="1" fillId="2" borderId="13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0" fillId="0" borderId="12" xfId="0" applyBorder="1" applyProtection="1"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horizontal="center"/>
      <protection locked="0"/>
    </xf>
    <xf numFmtId="0" fontId="14" fillId="0" borderId="0" xfId="0" applyFont="1" applyProtection="1">
      <protection locked="0"/>
    </xf>
    <xf numFmtId="0" fontId="9" fillId="0" borderId="1" xfId="0" applyFont="1" applyBorder="1"/>
    <xf numFmtId="0" fontId="0" fillId="2" borderId="8" xfId="0" applyFill="1" applyBorder="1" applyAlignment="1" applyProtection="1">
      <alignment horizontal="center"/>
      <protection locked="0"/>
    </xf>
  </cellXfs>
  <cellStyles count="3">
    <cellStyle name="Normal" xfId="0" builtinId="0"/>
    <cellStyle name="Normal 2" xfId="2"/>
    <cellStyle name="Normal 2 2" xfId="1"/>
  </cellStyles>
  <dxfs count="5">
    <dxf>
      <font>
        <color auto="1"/>
      </font>
      <fill>
        <patternFill patternType="solid">
          <bgColor theme="6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auto="1"/>
      </font>
      <fill>
        <patternFill patternType="solid">
          <bgColor theme="6" tint="0.59996337778862885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0</xdr:row>
      <xdr:rowOff>19050</xdr:rowOff>
    </xdr:from>
    <xdr:to>
      <xdr:col>8</xdr:col>
      <xdr:colOff>571500</xdr:colOff>
      <xdr:row>1</xdr:row>
      <xdr:rowOff>57150</xdr:rowOff>
    </xdr:to>
    <xdr:sp macro="" textlink="">
      <xdr:nvSpPr>
        <xdr:cNvPr id="2" name="Text Box 152"/>
        <xdr:cNvSpPr txBox="1">
          <a:spLocks noChangeArrowheads="1"/>
        </xdr:cNvSpPr>
      </xdr:nvSpPr>
      <xdr:spPr bwMode="auto">
        <a:xfrm>
          <a:off x="4943475" y="1905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542925</xdr:colOff>
      <xdr:row>57</xdr:row>
      <xdr:rowOff>95250</xdr:rowOff>
    </xdr:from>
    <xdr:to>
      <xdr:col>8</xdr:col>
      <xdr:colOff>304800</xdr:colOff>
      <xdr:row>57</xdr:row>
      <xdr:rowOff>133350</xdr:rowOff>
    </xdr:to>
    <xdr:sp macro="" textlink="">
      <xdr:nvSpPr>
        <xdr:cNvPr id="3" name="Text Box 134"/>
        <xdr:cNvSpPr txBox="1">
          <a:spLocks noChangeArrowheads="1"/>
        </xdr:cNvSpPr>
      </xdr:nvSpPr>
      <xdr:spPr bwMode="auto">
        <a:xfrm>
          <a:off x="2724150" y="99726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63</xdr:row>
      <xdr:rowOff>85725</xdr:rowOff>
    </xdr:from>
    <xdr:ext cx="6915150" cy="114301"/>
    <xdr:sp macro="" textlink="">
      <xdr:nvSpPr>
        <xdr:cNvPr id="4" name="CuadroTexto 10"/>
        <xdr:cNvSpPr txBox="1"/>
      </xdr:nvSpPr>
      <xdr:spPr>
        <a:xfrm>
          <a:off x="323851" y="109347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47625</xdr:colOff>
      <xdr:row>41</xdr:row>
      <xdr:rowOff>85725</xdr:rowOff>
    </xdr:from>
    <xdr:to>
      <xdr:col>6</xdr:col>
      <xdr:colOff>590550</xdr:colOff>
      <xdr:row>41</xdr:row>
      <xdr:rowOff>85725</xdr:rowOff>
    </xdr:to>
    <xdr:cxnSp macro="">
      <xdr:nvCxnSpPr>
        <xdr:cNvPr id="5" name="14 Conector recto"/>
        <xdr:cNvCxnSpPr>
          <a:cxnSpLocks noChangeShapeType="1"/>
        </xdr:cNvCxnSpPr>
      </xdr:nvCxnSpPr>
      <xdr:spPr bwMode="auto">
        <a:xfrm flipV="1">
          <a:off x="333375" y="72771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</xdr:row>
      <xdr:rowOff>85725</xdr:rowOff>
    </xdr:from>
    <xdr:to>
      <xdr:col>14</xdr:col>
      <xdr:colOff>523875</xdr:colOff>
      <xdr:row>41</xdr:row>
      <xdr:rowOff>85725</xdr:rowOff>
    </xdr:to>
    <xdr:cxnSp macro="">
      <xdr:nvCxnSpPr>
        <xdr:cNvPr id="6" name="15 Conector recto"/>
        <xdr:cNvCxnSpPr>
          <a:cxnSpLocks noChangeShapeType="1"/>
        </xdr:cNvCxnSpPr>
      </xdr:nvCxnSpPr>
      <xdr:spPr bwMode="auto">
        <a:xfrm>
          <a:off x="4295775" y="7277100"/>
          <a:ext cx="3267075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76202</xdr:colOff>
      <xdr:row>57</xdr:row>
      <xdr:rowOff>57149</xdr:rowOff>
    </xdr:from>
    <xdr:to>
      <xdr:col>15</xdr:col>
      <xdr:colOff>47626</xdr:colOff>
      <xdr:row>62</xdr:row>
      <xdr:rowOff>171450</xdr:rowOff>
    </xdr:to>
    <xdr:pic>
      <xdr:nvPicPr>
        <xdr:cNvPr id="7" name="8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2" y="10296524"/>
          <a:ext cx="2390774" cy="1066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158</xdr:row>
      <xdr:rowOff>95250</xdr:rowOff>
    </xdr:from>
    <xdr:to>
      <xdr:col>8</xdr:col>
      <xdr:colOff>304800</xdr:colOff>
      <xdr:row>158</xdr:row>
      <xdr:rowOff>133350</xdr:rowOff>
    </xdr:to>
    <xdr:sp macro="" textlink="">
      <xdr:nvSpPr>
        <xdr:cNvPr id="8" name="Text Box 134"/>
        <xdr:cNvSpPr txBox="1">
          <a:spLocks noChangeArrowheads="1"/>
        </xdr:cNvSpPr>
      </xdr:nvSpPr>
      <xdr:spPr bwMode="auto">
        <a:xfrm>
          <a:off x="2724150" y="2640330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164</xdr:row>
      <xdr:rowOff>85725</xdr:rowOff>
    </xdr:from>
    <xdr:ext cx="6915150" cy="114301"/>
    <xdr:sp macro="" textlink="">
      <xdr:nvSpPr>
        <xdr:cNvPr id="9" name="CuadroTexto 10"/>
        <xdr:cNvSpPr txBox="1"/>
      </xdr:nvSpPr>
      <xdr:spPr>
        <a:xfrm>
          <a:off x="323851" y="2736532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142</xdr:row>
      <xdr:rowOff>95250</xdr:rowOff>
    </xdr:from>
    <xdr:to>
      <xdr:col>6</xdr:col>
      <xdr:colOff>619125</xdr:colOff>
      <xdr:row>142</xdr:row>
      <xdr:rowOff>95250</xdr:rowOff>
    </xdr:to>
    <xdr:cxnSp macro="">
      <xdr:nvCxnSpPr>
        <xdr:cNvPr id="10" name="14 Conector recto"/>
        <xdr:cNvCxnSpPr>
          <a:cxnSpLocks noChangeShapeType="1"/>
        </xdr:cNvCxnSpPr>
      </xdr:nvCxnSpPr>
      <xdr:spPr bwMode="auto">
        <a:xfrm flipV="1">
          <a:off x="361950" y="238125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142</xdr:row>
      <xdr:rowOff>66675</xdr:rowOff>
    </xdr:from>
    <xdr:to>
      <xdr:col>14</xdr:col>
      <xdr:colOff>523875</xdr:colOff>
      <xdr:row>142</xdr:row>
      <xdr:rowOff>76200</xdr:rowOff>
    </xdr:to>
    <xdr:cxnSp macro="">
      <xdr:nvCxnSpPr>
        <xdr:cNvPr id="11" name="15 Conector recto"/>
        <xdr:cNvCxnSpPr>
          <a:cxnSpLocks noChangeShapeType="1"/>
        </xdr:cNvCxnSpPr>
      </xdr:nvCxnSpPr>
      <xdr:spPr bwMode="auto">
        <a:xfrm>
          <a:off x="4295775" y="2378392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157</xdr:row>
      <xdr:rowOff>123825</xdr:rowOff>
    </xdr:from>
    <xdr:to>
      <xdr:col>19</xdr:col>
      <xdr:colOff>85725</xdr:colOff>
      <xdr:row>163</xdr:row>
      <xdr:rowOff>152400</xdr:rowOff>
    </xdr:to>
    <xdr:pic>
      <xdr:nvPicPr>
        <xdr:cNvPr id="12" name="8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2626995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135</xdr:row>
      <xdr:rowOff>114300</xdr:rowOff>
    </xdr:from>
    <xdr:to>
      <xdr:col>4</xdr:col>
      <xdr:colOff>590550</xdr:colOff>
      <xdr:row>140</xdr:row>
      <xdr:rowOff>47625</xdr:rowOff>
    </xdr:to>
    <xdr:pic>
      <xdr:nvPicPr>
        <xdr:cNvPr id="13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262187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24</xdr:row>
      <xdr:rowOff>95250</xdr:rowOff>
    </xdr:from>
    <xdr:to>
      <xdr:col>8</xdr:col>
      <xdr:colOff>304800</xdr:colOff>
      <xdr:row>24</xdr:row>
      <xdr:rowOff>133350</xdr:rowOff>
    </xdr:to>
    <xdr:sp macro="" textlink="">
      <xdr:nvSpPr>
        <xdr:cNvPr id="14" name="Text Box 134"/>
        <xdr:cNvSpPr txBox="1">
          <a:spLocks noChangeArrowheads="1"/>
        </xdr:cNvSpPr>
      </xdr:nvSpPr>
      <xdr:spPr bwMode="auto">
        <a:xfrm>
          <a:off x="2724150" y="41814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20834</xdr:colOff>
      <xdr:row>30</xdr:row>
      <xdr:rowOff>107830</xdr:rowOff>
    </xdr:from>
    <xdr:ext cx="6970157" cy="225634"/>
    <xdr:sp macro="" textlink="">
      <xdr:nvSpPr>
        <xdr:cNvPr id="15" name="CuadroTexto 10"/>
        <xdr:cNvSpPr txBox="1"/>
      </xdr:nvSpPr>
      <xdr:spPr>
        <a:xfrm>
          <a:off x="306584" y="5222755"/>
          <a:ext cx="6970157" cy="2256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8</xdr:row>
      <xdr:rowOff>76200</xdr:rowOff>
    </xdr:from>
    <xdr:to>
      <xdr:col>6</xdr:col>
      <xdr:colOff>571500</xdr:colOff>
      <xdr:row>8</xdr:row>
      <xdr:rowOff>76200</xdr:rowOff>
    </xdr:to>
    <xdr:cxnSp macro="">
      <xdr:nvCxnSpPr>
        <xdr:cNvPr id="16" name="8 Conector recto"/>
        <xdr:cNvCxnSpPr>
          <a:cxnSpLocks noChangeShapeType="1"/>
        </xdr:cNvCxnSpPr>
      </xdr:nvCxnSpPr>
      <xdr:spPr bwMode="auto">
        <a:xfrm flipV="1">
          <a:off x="314325" y="13620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8</xdr:row>
      <xdr:rowOff>66675</xdr:rowOff>
    </xdr:from>
    <xdr:to>
      <xdr:col>14</xdr:col>
      <xdr:colOff>552450</xdr:colOff>
      <xdr:row>8</xdr:row>
      <xdr:rowOff>66675</xdr:rowOff>
    </xdr:to>
    <xdr:cxnSp macro="">
      <xdr:nvCxnSpPr>
        <xdr:cNvPr id="17" name="9 Conector recto"/>
        <xdr:cNvCxnSpPr>
          <a:cxnSpLocks noChangeShapeType="1"/>
        </xdr:cNvCxnSpPr>
      </xdr:nvCxnSpPr>
      <xdr:spPr bwMode="auto">
        <a:xfrm>
          <a:off x="4314825" y="13525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76201</xdr:colOff>
      <xdr:row>24</xdr:row>
      <xdr:rowOff>19051</xdr:rowOff>
    </xdr:from>
    <xdr:to>
      <xdr:col>15</xdr:col>
      <xdr:colOff>9524</xdr:colOff>
      <xdr:row>29</xdr:row>
      <xdr:rowOff>142875</xdr:rowOff>
    </xdr:to>
    <xdr:pic>
      <xdr:nvPicPr>
        <xdr:cNvPr id="18" name="8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1" y="4105276"/>
          <a:ext cx="2352673" cy="990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191</xdr:row>
      <xdr:rowOff>95250</xdr:rowOff>
    </xdr:from>
    <xdr:to>
      <xdr:col>8</xdr:col>
      <xdr:colOff>304800</xdr:colOff>
      <xdr:row>191</xdr:row>
      <xdr:rowOff>133350</xdr:rowOff>
    </xdr:to>
    <xdr:sp macro="" textlink="">
      <xdr:nvSpPr>
        <xdr:cNvPr id="19" name="Text Box 134"/>
        <xdr:cNvSpPr txBox="1">
          <a:spLocks noChangeArrowheads="1"/>
        </xdr:cNvSpPr>
      </xdr:nvSpPr>
      <xdr:spPr bwMode="auto">
        <a:xfrm>
          <a:off x="2724150" y="3182302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197</xdr:row>
      <xdr:rowOff>85725</xdr:rowOff>
    </xdr:from>
    <xdr:ext cx="6915150" cy="114301"/>
    <xdr:sp macro="" textlink="">
      <xdr:nvSpPr>
        <xdr:cNvPr id="20" name="CuadroTexto 10"/>
        <xdr:cNvSpPr txBox="1"/>
      </xdr:nvSpPr>
      <xdr:spPr>
        <a:xfrm>
          <a:off x="323851" y="3278505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175</xdr:row>
      <xdr:rowOff>76200</xdr:rowOff>
    </xdr:from>
    <xdr:to>
      <xdr:col>6</xdr:col>
      <xdr:colOff>571500</xdr:colOff>
      <xdr:row>175</xdr:row>
      <xdr:rowOff>76200</xdr:rowOff>
    </xdr:to>
    <xdr:cxnSp macro="">
      <xdr:nvCxnSpPr>
        <xdr:cNvPr id="21" name="8 Conector recto"/>
        <xdr:cNvCxnSpPr>
          <a:cxnSpLocks noChangeShapeType="1"/>
        </xdr:cNvCxnSpPr>
      </xdr:nvCxnSpPr>
      <xdr:spPr bwMode="auto">
        <a:xfrm flipV="1">
          <a:off x="314325" y="29213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175</xdr:row>
      <xdr:rowOff>66675</xdr:rowOff>
    </xdr:from>
    <xdr:to>
      <xdr:col>14</xdr:col>
      <xdr:colOff>552450</xdr:colOff>
      <xdr:row>175</xdr:row>
      <xdr:rowOff>66675</xdr:rowOff>
    </xdr:to>
    <xdr:cxnSp macro="">
      <xdr:nvCxnSpPr>
        <xdr:cNvPr id="22" name="9 Conector recto"/>
        <xdr:cNvCxnSpPr>
          <a:cxnSpLocks noChangeShapeType="1"/>
        </xdr:cNvCxnSpPr>
      </xdr:nvCxnSpPr>
      <xdr:spPr bwMode="auto">
        <a:xfrm>
          <a:off x="4314825" y="292036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190</xdr:row>
      <xdr:rowOff>76200</xdr:rowOff>
    </xdr:from>
    <xdr:to>
      <xdr:col>19</xdr:col>
      <xdr:colOff>85725</xdr:colOff>
      <xdr:row>196</xdr:row>
      <xdr:rowOff>114300</xdr:rowOff>
    </xdr:to>
    <xdr:pic>
      <xdr:nvPicPr>
        <xdr:cNvPr id="23" name="8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164205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260</xdr:row>
      <xdr:rowOff>95250</xdr:rowOff>
    </xdr:from>
    <xdr:to>
      <xdr:col>8</xdr:col>
      <xdr:colOff>304800</xdr:colOff>
      <xdr:row>260</xdr:row>
      <xdr:rowOff>133350</xdr:rowOff>
    </xdr:to>
    <xdr:sp macro="" textlink="">
      <xdr:nvSpPr>
        <xdr:cNvPr id="24" name="Text Box 134"/>
        <xdr:cNvSpPr txBox="1">
          <a:spLocks noChangeArrowheads="1"/>
        </xdr:cNvSpPr>
      </xdr:nvSpPr>
      <xdr:spPr bwMode="auto">
        <a:xfrm>
          <a:off x="2724150" y="431482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266</xdr:row>
      <xdr:rowOff>85725</xdr:rowOff>
    </xdr:from>
    <xdr:ext cx="6915150" cy="114301"/>
    <xdr:sp macro="" textlink="">
      <xdr:nvSpPr>
        <xdr:cNvPr id="25" name="CuadroTexto 10"/>
        <xdr:cNvSpPr txBox="1"/>
      </xdr:nvSpPr>
      <xdr:spPr>
        <a:xfrm>
          <a:off x="323851" y="441102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244</xdr:row>
      <xdr:rowOff>95250</xdr:rowOff>
    </xdr:from>
    <xdr:to>
      <xdr:col>6</xdr:col>
      <xdr:colOff>619125</xdr:colOff>
      <xdr:row>244</xdr:row>
      <xdr:rowOff>95250</xdr:rowOff>
    </xdr:to>
    <xdr:cxnSp macro="">
      <xdr:nvCxnSpPr>
        <xdr:cNvPr id="26" name="14 Conector recto"/>
        <xdr:cNvCxnSpPr>
          <a:cxnSpLocks noChangeShapeType="1"/>
        </xdr:cNvCxnSpPr>
      </xdr:nvCxnSpPr>
      <xdr:spPr bwMode="auto">
        <a:xfrm flipV="1">
          <a:off x="361950" y="405574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244</xdr:row>
      <xdr:rowOff>66675</xdr:rowOff>
    </xdr:from>
    <xdr:to>
      <xdr:col>14</xdr:col>
      <xdr:colOff>523875</xdr:colOff>
      <xdr:row>244</xdr:row>
      <xdr:rowOff>76200</xdr:rowOff>
    </xdr:to>
    <xdr:cxnSp macro="">
      <xdr:nvCxnSpPr>
        <xdr:cNvPr id="27" name="15 Conector recto"/>
        <xdr:cNvCxnSpPr>
          <a:cxnSpLocks noChangeShapeType="1"/>
        </xdr:cNvCxnSpPr>
      </xdr:nvCxnSpPr>
      <xdr:spPr bwMode="auto">
        <a:xfrm>
          <a:off x="4295775" y="405288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259</xdr:row>
      <xdr:rowOff>123825</xdr:rowOff>
    </xdr:from>
    <xdr:to>
      <xdr:col>19</xdr:col>
      <xdr:colOff>85725</xdr:colOff>
      <xdr:row>265</xdr:row>
      <xdr:rowOff>152400</xdr:rowOff>
    </xdr:to>
    <xdr:pic>
      <xdr:nvPicPr>
        <xdr:cNvPr id="28" name="8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30149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168</xdr:row>
      <xdr:rowOff>104775</xdr:rowOff>
    </xdr:from>
    <xdr:to>
      <xdr:col>4</xdr:col>
      <xdr:colOff>581025</xdr:colOff>
      <xdr:row>173</xdr:row>
      <xdr:rowOff>47625</xdr:rowOff>
    </xdr:to>
    <xdr:pic>
      <xdr:nvPicPr>
        <xdr:cNvPr id="29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803207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237</xdr:row>
      <xdr:rowOff>114300</xdr:rowOff>
    </xdr:from>
    <xdr:to>
      <xdr:col>4</xdr:col>
      <xdr:colOff>590550</xdr:colOff>
      <xdr:row>242</xdr:row>
      <xdr:rowOff>47625</xdr:rowOff>
    </xdr:to>
    <xdr:pic>
      <xdr:nvPicPr>
        <xdr:cNvPr id="30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93668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293</xdr:row>
      <xdr:rowOff>95250</xdr:rowOff>
    </xdr:from>
    <xdr:to>
      <xdr:col>8</xdr:col>
      <xdr:colOff>304800</xdr:colOff>
      <xdr:row>293</xdr:row>
      <xdr:rowOff>133350</xdr:rowOff>
    </xdr:to>
    <xdr:sp macro="" textlink="">
      <xdr:nvSpPr>
        <xdr:cNvPr id="31" name="Text Box 134"/>
        <xdr:cNvSpPr txBox="1">
          <a:spLocks noChangeArrowheads="1"/>
        </xdr:cNvSpPr>
      </xdr:nvSpPr>
      <xdr:spPr bwMode="auto">
        <a:xfrm>
          <a:off x="2724150" y="485679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299</xdr:row>
      <xdr:rowOff>85725</xdr:rowOff>
    </xdr:from>
    <xdr:ext cx="6915150" cy="114301"/>
    <xdr:sp macro="" textlink="">
      <xdr:nvSpPr>
        <xdr:cNvPr id="32" name="CuadroTexto 10"/>
        <xdr:cNvSpPr txBox="1"/>
      </xdr:nvSpPr>
      <xdr:spPr>
        <a:xfrm>
          <a:off x="323851" y="495300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277</xdr:row>
      <xdr:rowOff>95250</xdr:rowOff>
    </xdr:from>
    <xdr:to>
      <xdr:col>6</xdr:col>
      <xdr:colOff>619125</xdr:colOff>
      <xdr:row>277</xdr:row>
      <xdr:rowOff>95250</xdr:rowOff>
    </xdr:to>
    <xdr:cxnSp macro="">
      <xdr:nvCxnSpPr>
        <xdr:cNvPr id="33" name="14 Conector recto"/>
        <xdr:cNvCxnSpPr>
          <a:cxnSpLocks noChangeShapeType="1"/>
        </xdr:cNvCxnSpPr>
      </xdr:nvCxnSpPr>
      <xdr:spPr bwMode="auto">
        <a:xfrm flipV="1">
          <a:off x="361950" y="45977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277</xdr:row>
      <xdr:rowOff>66675</xdr:rowOff>
    </xdr:from>
    <xdr:to>
      <xdr:col>14</xdr:col>
      <xdr:colOff>523875</xdr:colOff>
      <xdr:row>277</xdr:row>
      <xdr:rowOff>76200</xdr:rowOff>
    </xdr:to>
    <xdr:cxnSp macro="">
      <xdr:nvCxnSpPr>
        <xdr:cNvPr id="34" name="15 Conector recto"/>
        <xdr:cNvCxnSpPr>
          <a:cxnSpLocks noChangeShapeType="1"/>
        </xdr:cNvCxnSpPr>
      </xdr:nvCxnSpPr>
      <xdr:spPr bwMode="auto">
        <a:xfrm>
          <a:off x="4295775" y="459486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292</xdr:row>
      <xdr:rowOff>123825</xdr:rowOff>
    </xdr:from>
    <xdr:to>
      <xdr:col>19</xdr:col>
      <xdr:colOff>85725</xdr:colOff>
      <xdr:row>298</xdr:row>
      <xdr:rowOff>152400</xdr:rowOff>
    </xdr:to>
    <xdr:pic>
      <xdr:nvPicPr>
        <xdr:cNvPr id="35" name="8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84346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270</xdr:row>
      <xdr:rowOff>114300</xdr:rowOff>
    </xdr:from>
    <xdr:to>
      <xdr:col>4</xdr:col>
      <xdr:colOff>590550</xdr:colOff>
      <xdr:row>275</xdr:row>
      <xdr:rowOff>47625</xdr:rowOff>
    </xdr:to>
    <xdr:pic>
      <xdr:nvPicPr>
        <xdr:cNvPr id="36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47865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224</xdr:row>
      <xdr:rowOff>95250</xdr:rowOff>
    </xdr:from>
    <xdr:to>
      <xdr:col>8</xdr:col>
      <xdr:colOff>304800</xdr:colOff>
      <xdr:row>224</xdr:row>
      <xdr:rowOff>133350</xdr:rowOff>
    </xdr:to>
    <xdr:sp macro="" textlink="">
      <xdr:nvSpPr>
        <xdr:cNvPr id="37" name="Text Box 134"/>
        <xdr:cNvSpPr txBox="1">
          <a:spLocks noChangeArrowheads="1"/>
        </xdr:cNvSpPr>
      </xdr:nvSpPr>
      <xdr:spPr bwMode="auto">
        <a:xfrm>
          <a:off x="2724150" y="372427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230</xdr:row>
      <xdr:rowOff>85725</xdr:rowOff>
    </xdr:from>
    <xdr:ext cx="6915150" cy="114301"/>
    <xdr:sp macro="" textlink="">
      <xdr:nvSpPr>
        <xdr:cNvPr id="38" name="CuadroTexto 10"/>
        <xdr:cNvSpPr txBox="1"/>
      </xdr:nvSpPr>
      <xdr:spPr>
        <a:xfrm>
          <a:off x="323851" y="382047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208</xdr:row>
      <xdr:rowOff>76200</xdr:rowOff>
    </xdr:from>
    <xdr:to>
      <xdr:col>6</xdr:col>
      <xdr:colOff>571500</xdr:colOff>
      <xdr:row>208</xdr:row>
      <xdr:rowOff>76200</xdr:rowOff>
    </xdr:to>
    <xdr:cxnSp macro="">
      <xdr:nvCxnSpPr>
        <xdr:cNvPr id="39" name="8 Conector recto"/>
        <xdr:cNvCxnSpPr>
          <a:cxnSpLocks noChangeShapeType="1"/>
        </xdr:cNvCxnSpPr>
      </xdr:nvCxnSpPr>
      <xdr:spPr bwMode="auto">
        <a:xfrm flipV="1">
          <a:off x="314325" y="346329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208</xdr:row>
      <xdr:rowOff>66675</xdr:rowOff>
    </xdr:from>
    <xdr:to>
      <xdr:col>14</xdr:col>
      <xdr:colOff>552450</xdr:colOff>
      <xdr:row>208</xdr:row>
      <xdr:rowOff>66675</xdr:rowOff>
    </xdr:to>
    <xdr:cxnSp macro="">
      <xdr:nvCxnSpPr>
        <xdr:cNvPr id="40" name="9 Conector recto"/>
        <xdr:cNvCxnSpPr>
          <a:cxnSpLocks noChangeShapeType="1"/>
        </xdr:cNvCxnSpPr>
      </xdr:nvCxnSpPr>
      <xdr:spPr bwMode="auto">
        <a:xfrm>
          <a:off x="4314825" y="346233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223</xdr:row>
      <xdr:rowOff>152400</xdr:rowOff>
    </xdr:from>
    <xdr:to>
      <xdr:col>19</xdr:col>
      <xdr:colOff>85725</xdr:colOff>
      <xdr:row>230</xdr:row>
      <xdr:rowOff>28575</xdr:rowOff>
    </xdr:to>
    <xdr:pic>
      <xdr:nvPicPr>
        <xdr:cNvPr id="41" name="8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71379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201</xdr:row>
      <xdr:rowOff>104775</xdr:rowOff>
    </xdr:from>
    <xdr:to>
      <xdr:col>4</xdr:col>
      <xdr:colOff>581025</xdr:colOff>
      <xdr:row>206</xdr:row>
      <xdr:rowOff>47625</xdr:rowOff>
    </xdr:to>
    <xdr:pic>
      <xdr:nvPicPr>
        <xdr:cNvPr id="42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34518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328</xdr:row>
      <xdr:rowOff>95250</xdr:rowOff>
    </xdr:from>
    <xdr:to>
      <xdr:col>8</xdr:col>
      <xdr:colOff>304800</xdr:colOff>
      <xdr:row>328</xdr:row>
      <xdr:rowOff>133350</xdr:rowOff>
    </xdr:to>
    <xdr:sp macro="" textlink="">
      <xdr:nvSpPr>
        <xdr:cNvPr id="43" name="Text Box 134"/>
        <xdr:cNvSpPr txBox="1">
          <a:spLocks noChangeArrowheads="1"/>
        </xdr:cNvSpPr>
      </xdr:nvSpPr>
      <xdr:spPr bwMode="auto">
        <a:xfrm>
          <a:off x="2724150" y="543115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334</xdr:row>
      <xdr:rowOff>85725</xdr:rowOff>
    </xdr:from>
    <xdr:ext cx="6915150" cy="114301"/>
    <xdr:sp macro="" textlink="">
      <xdr:nvSpPr>
        <xdr:cNvPr id="44" name="CuadroTexto 10"/>
        <xdr:cNvSpPr txBox="1"/>
      </xdr:nvSpPr>
      <xdr:spPr>
        <a:xfrm>
          <a:off x="323851" y="552735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312</xdr:row>
      <xdr:rowOff>76200</xdr:rowOff>
    </xdr:from>
    <xdr:to>
      <xdr:col>6</xdr:col>
      <xdr:colOff>571500</xdr:colOff>
      <xdr:row>312</xdr:row>
      <xdr:rowOff>76200</xdr:rowOff>
    </xdr:to>
    <xdr:cxnSp macro="">
      <xdr:nvCxnSpPr>
        <xdr:cNvPr id="45" name="8 Conector recto"/>
        <xdr:cNvCxnSpPr>
          <a:cxnSpLocks noChangeShapeType="1"/>
        </xdr:cNvCxnSpPr>
      </xdr:nvCxnSpPr>
      <xdr:spPr bwMode="auto">
        <a:xfrm flipV="1">
          <a:off x="314325" y="517017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312</xdr:row>
      <xdr:rowOff>66675</xdr:rowOff>
    </xdr:from>
    <xdr:to>
      <xdr:col>14</xdr:col>
      <xdr:colOff>552450</xdr:colOff>
      <xdr:row>312</xdr:row>
      <xdr:rowOff>66675</xdr:rowOff>
    </xdr:to>
    <xdr:cxnSp macro="">
      <xdr:nvCxnSpPr>
        <xdr:cNvPr id="46" name="9 Conector recto"/>
        <xdr:cNvCxnSpPr>
          <a:cxnSpLocks noChangeShapeType="1"/>
        </xdr:cNvCxnSpPr>
      </xdr:nvCxnSpPr>
      <xdr:spPr bwMode="auto">
        <a:xfrm>
          <a:off x="4314825" y="516921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327</xdr:row>
      <xdr:rowOff>76200</xdr:rowOff>
    </xdr:from>
    <xdr:to>
      <xdr:col>19</xdr:col>
      <xdr:colOff>85725</xdr:colOff>
      <xdr:row>333</xdr:row>
      <xdr:rowOff>114300</xdr:rowOff>
    </xdr:to>
    <xdr:pic>
      <xdr:nvPicPr>
        <xdr:cNvPr id="47" name="8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41305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396</xdr:row>
      <xdr:rowOff>95250</xdr:rowOff>
    </xdr:from>
    <xdr:to>
      <xdr:col>8</xdr:col>
      <xdr:colOff>304800</xdr:colOff>
      <xdr:row>396</xdr:row>
      <xdr:rowOff>133350</xdr:rowOff>
    </xdr:to>
    <xdr:sp macro="" textlink="">
      <xdr:nvSpPr>
        <xdr:cNvPr id="48" name="Text Box 134"/>
        <xdr:cNvSpPr txBox="1">
          <a:spLocks noChangeArrowheads="1"/>
        </xdr:cNvSpPr>
      </xdr:nvSpPr>
      <xdr:spPr bwMode="auto">
        <a:xfrm>
          <a:off x="2724150" y="654748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402</xdr:row>
      <xdr:rowOff>85725</xdr:rowOff>
    </xdr:from>
    <xdr:ext cx="6915150" cy="114301"/>
    <xdr:sp macro="" textlink="">
      <xdr:nvSpPr>
        <xdr:cNvPr id="49" name="CuadroTexto 10"/>
        <xdr:cNvSpPr txBox="1"/>
      </xdr:nvSpPr>
      <xdr:spPr>
        <a:xfrm>
          <a:off x="323851" y="664368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380</xdr:row>
      <xdr:rowOff>95250</xdr:rowOff>
    </xdr:from>
    <xdr:to>
      <xdr:col>6</xdr:col>
      <xdr:colOff>619125</xdr:colOff>
      <xdr:row>380</xdr:row>
      <xdr:rowOff>95250</xdr:rowOff>
    </xdr:to>
    <xdr:cxnSp macro="">
      <xdr:nvCxnSpPr>
        <xdr:cNvPr id="50" name="14 Conector recto"/>
        <xdr:cNvCxnSpPr>
          <a:cxnSpLocks noChangeShapeType="1"/>
        </xdr:cNvCxnSpPr>
      </xdr:nvCxnSpPr>
      <xdr:spPr bwMode="auto">
        <a:xfrm flipV="1">
          <a:off x="361950" y="628840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380</xdr:row>
      <xdr:rowOff>66675</xdr:rowOff>
    </xdr:from>
    <xdr:to>
      <xdr:col>14</xdr:col>
      <xdr:colOff>523875</xdr:colOff>
      <xdr:row>380</xdr:row>
      <xdr:rowOff>76200</xdr:rowOff>
    </xdr:to>
    <xdr:cxnSp macro="">
      <xdr:nvCxnSpPr>
        <xdr:cNvPr id="51" name="15 Conector recto"/>
        <xdr:cNvCxnSpPr>
          <a:cxnSpLocks noChangeShapeType="1"/>
        </xdr:cNvCxnSpPr>
      </xdr:nvCxnSpPr>
      <xdr:spPr bwMode="auto">
        <a:xfrm>
          <a:off x="4295775" y="628554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395</xdr:row>
      <xdr:rowOff>123825</xdr:rowOff>
    </xdr:from>
    <xdr:to>
      <xdr:col>19</xdr:col>
      <xdr:colOff>85725</xdr:colOff>
      <xdr:row>401</xdr:row>
      <xdr:rowOff>152400</xdr:rowOff>
    </xdr:to>
    <xdr:pic>
      <xdr:nvPicPr>
        <xdr:cNvPr id="52" name="8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653415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305</xdr:row>
      <xdr:rowOff>104775</xdr:rowOff>
    </xdr:from>
    <xdr:to>
      <xdr:col>4</xdr:col>
      <xdr:colOff>581025</xdr:colOff>
      <xdr:row>310</xdr:row>
      <xdr:rowOff>0</xdr:rowOff>
    </xdr:to>
    <xdr:pic>
      <xdr:nvPicPr>
        <xdr:cNvPr id="53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0520600"/>
          <a:ext cx="18002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373</xdr:row>
      <xdr:rowOff>114300</xdr:rowOff>
    </xdr:from>
    <xdr:to>
      <xdr:col>4</xdr:col>
      <xdr:colOff>590550</xdr:colOff>
      <xdr:row>378</xdr:row>
      <xdr:rowOff>47625</xdr:rowOff>
    </xdr:to>
    <xdr:pic>
      <xdr:nvPicPr>
        <xdr:cNvPr id="5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16934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429</xdr:row>
      <xdr:rowOff>95250</xdr:rowOff>
    </xdr:from>
    <xdr:to>
      <xdr:col>8</xdr:col>
      <xdr:colOff>304800</xdr:colOff>
      <xdr:row>429</xdr:row>
      <xdr:rowOff>133350</xdr:rowOff>
    </xdr:to>
    <xdr:sp macro="" textlink="">
      <xdr:nvSpPr>
        <xdr:cNvPr id="55" name="Text Box 134"/>
        <xdr:cNvSpPr txBox="1">
          <a:spLocks noChangeArrowheads="1"/>
        </xdr:cNvSpPr>
      </xdr:nvSpPr>
      <xdr:spPr bwMode="auto">
        <a:xfrm>
          <a:off x="2724150" y="708945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435</xdr:row>
      <xdr:rowOff>85725</xdr:rowOff>
    </xdr:from>
    <xdr:ext cx="6915150" cy="114301"/>
    <xdr:sp macro="" textlink="">
      <xdr:nvSpPr>
        <xdr:cNvPr id="56" name="CuadroTexto 10"/>
        <xdr:cNvSpPr txBox="1"/>
      </xdr:nvSpPr>
      <xdr:spPr>
        <a:xfrm>
          <a:off x="323851" y="718566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413</xdr:row>
      <xdr:rowOff>95250</xdr:rowOff>
    </xdr:from>
    <xdr:to>
      <xdr:col>6</xdr:col>
      <xdr:colOff>619125</xdr:colOff>
      <xdr:row>413</xdr:row>
      <xdr:rowOff>95250</xdr:rowOff>
    </xdr:to>
    <xdr:cxnSp macro="">
      <xdr:nvCxnSpPr>
        <xdr:cNvPr id="57" name="14 Conector recto"/>
        <xdr:cNvCxnSpPr>
          <a:cxnSpLocks noChangeShapeType="1"/>
        </xdr:cNvCxnSpPr>
      </xdr:nvCxnSpPr>
      <xdr:spPr bwMode="auto">
        <a:xfrm flipV="1">
          <a:off x="361950" y="683037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413</xdr:row>
      <xdr:rowOff>66675</xdr:rowOff>
    </xdr:from>
    <xdr:to>
      <xdr:col>14</xdr:col>
      <xdr:colOff>523875</xdr:colOff>
      <xdr:row>413</xdr:row>
      <xdr:rowOff>76200</xdr:rowOff>
    </xdr:to>
    <xdr:cxnSp macro="">
      <xdr:nvCxnSpPr>
        <xdr:cNvPr id="58" name="15 Conector recto"/>
        <xdr:cNvCxnSpPr>
          <a:cxnSpLocks noChangeShapeType="1"/>
        </xdr:cNvCxnSpPr>
      </xdr:nvCxnSpPr>
      <xdr:spPr bwMode="auto">
        <a:xfrm>
          <a:off x="4295775" y="682752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428</xdr:row>
      <xdr:rowOff>123825</xdr:rowOff>
    </xdr:from>
    <xdr:to>
      <xdr:col>19</xdr:col>
      <xdr:colOff>85725</xdr:colOff>
      <xdr:row>434</xdr:row>
      <xdr:rowOff>152400</xdr:rowOff>
    </xdr:to>
    <xdr:pic>
      <xdr:nvPicPr>
        <xdr:cNvPr id="59" name="8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07612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406</xdr:row>
      <xdr:rowOff>114300</xdr:rowOff>
    </xdr:from>
    <xdr:to>
      <xdr:col>4</xdr:col>
      <xdr:colOff>590550</xdr:colOff>
      <xdr:row>411</xdr:row>
      <xdr:rowOff>47625</xdr:rowOff>
    </xdr:to>
    <xdr:pic>
      <xdr:nvPicPr>
        <xdr:cNvPr id="60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71131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361</xdr:row>
      <xdr:rowOff>95250</xdr:rowOff>
    </xdr:from>
    <xdr:to>
      <xdr:col>8</xdr:col>
      <xdr:colOff>304800</xdr:colOff>
      <xdr:row>361</xdr:row>
      <xdr:rowOff>133350</xdr:rowOff>
    </xdr:to>
    <xdr:sp macro="" textlink="">
      <xdr:nvSpPr>
        <xdr:cNvPr id="61" name="Text Box 134"/>
        <xdr:cNvSpPr txBox="1">
          <a:spLocks noChangeArrowheads="1"/>
        </xdr:cNvSpPr>
      </xdr:nvSpPr>
      <xdr:spPr bwMode="auto">
        <a:xfrm>
          <a:off x="2724150" y="597312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367</xdr:row>
      <xdr:rowOff>85725</xdr:rowOff>
    </xdr:from>
    <xdr:ext cx="6915150" cy="114301"/>
    <xdr:sp macro="" textlink="">
      <xdr:nvSpPr>
        <xdr:cNvPr id="62" name="CuadroTexto 10"/>
        <xdr:cNvSpPr txBox="1"/>
      </xdr:nvSpPr>
      <xdr:spPr>
        <a:xfrm>
          <a:off x="323851" y="606933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345</xdr:row>
      <xdr:rowOff>76200</xdr:rowOff>
    </xdr:from>
    <xdr:to>
      <xdr:col>6</xdr:col>
      <xdr:colOff>571500</xdr:colOff>
      <xdr:row>345</xdr:row>
      <xdr:rowOff>76200</xdr:rowOff>
    </xdr:to>
    <xdr:cxnSp macro="">
      <xdr:nvCxnSpPr>
        <xdr:cNvPr id="63" name="8 Conector recto"/>
        <xdr:cNvCxnSpPr>
          <a:cxnSpLocks noChangeShapeType="1"/>
        </xdr:cNvCxnSpPr>
      </xdr:nvCxnSpPr>
      <xdr:spPr bwMode="auto">
        <a:xfrm flipV="1">
          <a:off x="314325" y="571214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345</xdr:row>
      <xdr:rowOff>66675</xdr:rowOff>
    </xdr:from>
    <xdr:to>
      <xdr:col>14</xdr:col>
      <xdr:colOff>552450</xdr:colOff>
      <xdr:row>345</xdr:row>
      <xdr:rowOff>66675</xdr:rowOff>
    </xdr:to>
    <xdr:cxnSp macro="">
      <xdr:nvCxnSpPr>
        <xdr:cNvPr id="64" name="9 Conector recto"/>
        <xdr:cNvCxnSpPr>
          <a:cxnSpLocks noChangeShapeType="1"/>
        </xdr:cNvCxnSpPr>
      </xdr:nvCxnSpPr>
      <xdr:spPr bwMode="auto">
        <a:xfrm>
          <a:off x="4314825" y="571119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360</xdr:row>
      <xdr:rowOff>152400</xdr:rowOff>
    </xdr:from>
    <xdr:to>
      <xdr:col>19</xdr:col>
      <xdr:colOff>85725</xdr:colOff>
      <xdr:row>367</xdr:row>
      <xdr:rowOff>28575</xdr:rowOff>
    </xdr:to>
    <xdr:pic>
      <xdr:nvPicPr>
        <xdr:cNvPr id="65" name="8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96265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338</xdr:row>
      <xdr:rowOff>104775</xdr:rowOff>
    </xdr:from>
    <xdr:to>
      <xdr:col>4</xdr:col>
      <xdr:colOff>581025</xdr:colOff>
      <xdr:row>343</xdr:row>
      <xdr:rowOff>47625</xdr:rowOff>
    </xdr:to>
    <xdr:pic>
      <xdr:nvPicPr>
        <xdr:cNvPr id="66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59403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464</xdr:row>
      <xdr:rowOff>95250</xdr:rowOff>
    </xdr:from>
    <xdr:to>
      <xdr:col>8</xdr:col>
      <xdr:colOff>304800</xdr:colOff>
      <xdr:row>464</xdr:row>
      <xdr:rowOff>133350</xdr:rowOff>
    </xdr:to>
    <xdr:sp macro="" textlink="">
      <xdr:nvSpPr>
        <xdr:cNvPr id="67" name="Text Box 134"/>
        <xdr:cNvSpPr txBox="1">
          <a:spLocks noChangeArrowheads="1"/>
        </xdr:cNvSpPr>
      </xdr:nvSpPr>
      <xdr:spPr bwMode="auto">
        <a:xfrm>
          <a:off x="2724150" y="766381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470</xdr:row>
      <xdr:rowOff>85725</xdr:rowOff>
    </xdr:from>
    <xdr:ext cx="6915150" cy="114301"/>
    <xdr:sp macro="" textlink="">
      <xdr:nvSpPr>
        <xdr:cNvPr id="68" name="CuadroTexto 10"/>
        <xdr:cNvSpPr txBox="1"/>
      </xdr:nvSpPr>
      <xdr:spPr>
        <a:xfrm>
          <a:off x="323851" y="776001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448</xdr:row>
      <xdr:rowOff>76200</xdr:rowOff>
    </xdr:from>
    <xdr:to>
      <xdr:col>6</xdr:col>
      <xdr:colOff>571500</xdr:colOff>
      <xdr:row>448</xdr:row>
      <xdr:rowOff>76200</xdr:rowOff>
    </xdr:to>
    <xdr:cxnSp macro="">
      <xdr:nvCxnSpPr>
        <xdr:cNvPr id="69" name="8 Conector recto"/>
        <xdr:cNvCxnSpPr>
          <a:cxnSpLocks noChangeShapeType="1"/>
        </xdr:cNvCxnSpPr>
      </xdr:nvCxnSpPr>
      <xdr:spPr bwMode="auto">
        <a:xfrm flipV="1">
          <a:off x="314325" y="740283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448</xdr:row>
      <xdr:rowOff>66675</xdr:rowOff>
    </xdr:from>
    <xdr:to>
      <xdr:col>14</xdr:col>
      <xdr:colOff>552450</xdr:colOff>
      <xdr:row>448</xdr:row>
      <xdr:rowOff>66675</xdr:rowOff>
    </xdr:to>
    <xdr:cxnSp macro="">
      <xdr:nvCxnSpPr>
        <xdr:cNvPr id="70" name="9 Conector recto"/>
        <xdr:cNvCxnSpPr>
          <a:cxnSpLocks noChangeShapeType="1"/>
        </xdr:cNvCxnSpPr>
      </xdr:nvCxnSpPr>
      <xdr:spPr bwMode="auto">
        <a:xfrm>
          <a:off x="4314825" y="740187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463</xdr:row>
      <xdr:rowOff>76200</xdr:rowOff>
    </xdr:from>
    <xdr:to>
      <xdr:col>19</xdr:col>
      <xdr:colOff>85725</xdr:colOff>
      <xdr:row>469</xdr:row>
      <xdr:rowOff>114300</xdr:rowOff>
    </xdr:to>
    <xdr:pic>
      <xdr:nvPicPr>
        <xdr:cNvPr id="71" name="8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64571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532</xdr:row>
      <xdr:rowOff>95250</xdr:rowOff>
    </xdr:from>
    <xdr:to>
      <xdr:col>8</xdr:col>
      <xdr:colOff>304800</xdr:colOff>
      <xdr:row>532</xdr:row>
      <xdr:rowOff>133350</xdr:rowOff>
    </xdr:to>
    <xdr:sp macro="" textlink="">
      <xdr:nvSpPr>
        <xdr:cNvPr id="72" name="Text Box 134"/>
        <xdr:cNvSpPr txBox="1">
          <a:spLocks noChangeArrowheads="1"/>
        </xdr:cNvSpPr>
      </xdr:nvSpPr>
      <xdr:spPr bwMode="auto">
        <a:xfrm>
          <a:off x="2724150" y="878014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538</xdr:row>
      <xdr:rowOff>85725</xdr:rowOff>
    </xdr:from>
    <xdr:ext cx="6915150" cy="114301"/>
    <xdr:sp macro="" textlink="">
      <xdr:nvSpPr>
        <xdr:cNvPr id="73" name="CuadroTexto 10"/>
        <xdr:cNvSpPr txBox="1"/>
      </xdr:nvSpPr>
      <xdr:spPr>
        <a:xfrm>
          <a:off x="323851" y="887634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516</xdr:row>
      <xdr:rowOff>95250</xdr:rowOff>
    </xdr:from>
    <xdr:to>
      <xdr:col>6</xdr:col>
      <xdr:colOff>619125</xdr:colOff>
      <xdr:row>516</xdr:row>
      <xdr:rowOff>95250</xdr:rowOff>
    </xdr:to>
    <xdr:cxnSp macro="">
      <xdr:nvCxnSpPr>
        <xdr:cNvPr id="74" name="14 Conector recto"/>
        <xdr:cNvCxnSpPr>
          <a:cxnSpLocks noChangeShapeType="1"/>
        </xdr:cNvCxnSpPr>
      </xdr:nvCxnSpPr>
      <xdr:spPr bwMode="auto">
        <a:xfrm flipV="1">
          <a:off x="361950" y="852106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516</xdr:row>
      <xdr:rowOff>66675</xdr:rowOff>
    </xdr:from>
    <xdr:to>
      <xdr:col>14</xdr:col>
      <xdr:colOff>523875</xdr:colOff>
      <xdr:row>516</xdr:row>
      <xdr:rowOff>76200</xdr:rowOff>
    </xdr:to>
    <xdr:cxnSp macro="">
      <xdr:nvCxnSpPr>
        <xdr:cNvPr id="75" name="15 Conector recto"/>
        <xdr:cNvCxnSpPr>
          <a:cxnSpLocks noChangeShapeType="1"/>
        </xdr:cNvCxnSpPr>
      </xdr:nvCxnSpPr>
      <xdr:spPr bwMode="auto">
        <a:xfrm>
          <a:off x="4295775" y="851820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531</xdr:row>
      <xdr:rowOff>123825</xdr:rowOff>
    </xdr:from>
    <xdr:to>
      <xdr:col>19</xdr:col>
      <xdr:colOff>85725</xdr:colOff>
      <xdr:row>537</xdr:row>
      <xdr:rowOff>152400</xdr:rowOff>
    </xdr:to>
    <xdr:pic>
      <xdr:nvPicPr>
        <xdr:cNvPr id="76" name="8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76681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441</xdr:row>
      <xdr:rowOff>104775</xdr:rowOff>
    </xdr:from>
    <xdr:to>
      <xdr:col>4</xdr:col>
      <xdr:colOff>581025</xdr:colOff>
      <xdr:row>446</xdr:row>
      <xdr:rowOff>47625</xdr:rowOff>
    </xdr:to>
    <xdr:pic>
      <xdr:nvPicPr>
        <xdr:cNvPr id="77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28472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509</xdr:row>
      <xdr:rowOff>114300</xdr:rowOff>
    </xdr:from>
    <xdr:to>
      <xdr:col>4</xdr:col>
      <xdr:colOff>590550</xdr:colOff>
      <xdr:row>514</xdr:row>
      <xdr:rowOff>47625</xdr:rowOff>
    </xdr:to>
    <xdr:pic>
      <xdr:nvPicPr>
        <xdr:cNvPr id="78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40200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565</xdr:row>
      <xdr:rowOff>95250</xdr:rowOff>
    </xdr:from>
    <xdr:to>
      <xdr:col>8</xdr:col>
      <xdr:colOff>304800</xdr:colOff>
      <xdr:row>565</xdr:row>
      <xdr:rowOff>133350</xdr:rowOff>
    </xdr:to>
    <xdr:sp macro="" textlink="">
      <xdr:nvSpPr>
        <xdr:cNvPr id="79" name="Text Box 134"/>
        <xdr:cNvSpPr txBox="1">
          <a:spLocks noChangeArrowheads="1"/>
        </xdr:cNvSpPr>
      </xdr:nvSpPr>
      <xdr:spPr bwMode="auto">
        <a:xfrm>
          <a:off x="2724150" y="932211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571</xdr:row>
      <xdr:rowOff>85725</xdr:rowOff>
    </xdr:from>
    <xdr:ext cx="6915150" cy="114301"/>
    <xdr:sp macro="" textlink="">
      <xdr:nvSpPr>
        <xdr:cNvPr id="80" name="CuadroTexto 10"/>
        <xdr:cNvSpPr txBox="1"/>
      </xdr:nvSpPr>
      <xdr:spPr>
        <a:xfrm>
          <a:off x="323851" y="941832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549</xdr:row>
      <xdr:rowOff>95250</xdr:rowOff>
    </xdr:from>
    <xdr:to>
      <xdr:col>6</xdr:col>
      <xdr:colOff>619125</xdr:colOff>
      <xdr:row>549</xdr:row>
      <xdr:rowOff>95250</xdr:rowOff>
    </xdr:to>
    <xdr:cxnSp macro="">
      <xdr:nvCxnSpPr>
        <xdr:cNvPr id="81" name="14 Conector recto"/>
        <xdr:cNvCxnSpPr>
          <a:cxnSpLocks noChangeShapeType="1"/>
        </xdr:cNvCxnSpPr>
      </xdr:nvCxnSpPr>
      <xdr:spPr bwMode="auto">
        <a:xfrm flipV="1">
          <a:off x="361950" y="906303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549</xdr:row>
      <xdr:rowOff>66675</xdr:rowOff>
    </xdr:from>
    <xdr:to>
      <xdr:col>14</xdr:col>
      <xdr:colOff>523875</xdr:colOff>
      <xdr:row>549</xdr:row>
      <xdr:rowOff>76200</xdr:rowOff>
    </xdr:to>
    <xdr:cxnSp macro="">
      <xdr:nvCxnSpPr>
        <xdr:cNvPr id="82" name="15 Conector recto"/>
        <xdr:cNvCxnSpPr>
          <a:cxnSpLocks noChangeShapeType="1"/>
        </xdr:cNvCxnSpPr>
      </xdr:nvCxnSpPr>
      <xdr:spPr bwMode="auto">
        <a:xfrm>
          <a:off x="4295775" y="906018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564</xdr:row>
      <xdr:rowOff>123825</xdr:rowOff>
    </xdr:from>
    <xdr:to>
      <xdr:col>19</xdr:col>
      <xdr:colOff>85725</xdr:colOff>
      <xdr:row>570</xdr:row>
      <xdr:rowOff>152400</xdr:rowOff>
    </xdr:to>
    <xdr:pic>
      <xdr:nvPicPr>
        <xdr:cNvPr id="83" name="8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930878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542</xdr:row>
      <xdr:rowOff>114300</xdr:rowOff>
    </xdr:from>
    <xdr:to>
      <xdr:col>4</xdr:col>
      <xdr:colOff>590550</xdr:colOff>
      <xdr:row>547</xdr:row>
      <xdr:rowOff>47625</xdr:rowOff>
    </xdr:to>
    <xdr:pic>
      <xdr:nvPicPr>
        <xdr:cNvPr id="84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94397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497</xdr:row>
      <xdr:rowOff>95250</xdr:rowOff>
    </xdr:from>
    <xdr:to>
      <xdr:col>8</xdr:col>
      <xdr:colOff>304800</xdr:colOff>
      <xdr:row>497</xdr:row>
      <xdr:rowOff>133350</xdr:rowOff>
    </xdr:to>
    <xdr:sp macro="" textlink="">
      <xdr:nvSpPr>
        <xdr:cNvPr id="85" name="Text Box 134"/>
        <xdr:cNvSpPr txBox="1">
          <a:spLocks noChangeArrowheads="1"/>
        </xdr:cNvSpPr>
      </xdr:nvSpPr>
      <xdr:spPr bwMode="auto">
        <a:xfrm>
          <a:off x="2724150" y="820578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503</xdr:row>
      <xdr:rowOff>85725</xdr:rowOff>
    </xdr:from>
    <xdr:ext cx="6915150" cy="114301"/>
    <xdr:sp macro="" textlink="">
      <xdr:nvSpPr>
        <xdr:cNvPr id="86" name="CuadroTexto 10"/>
        <xdr:cNvSpPr txBox="1"/>
      </xdr:nvSpPr>
      <xdr:spPr>
        <a:xfrm>
          <a:off x="323851" y="830199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481</xdr:row>
      <xdr:rowOff>76200</xdr:rowOff>
    </xdr:from>
    <xdr:to>
      <xdr:col>6</xdr:col>
      <xdr:colOff>571500</xdr:colOff>
      <xdr:row>481</xdr:row>
      <xdr:rowOff>76200</xdr:rowOff>
    </xdr:to>
    <xdr:cxnSp macro="">
      <xdr:nvCxnSpPr>
        <xdr:cNvPr id="87" name="8 Conector recto"/>
        <xdr:cNvCxnSpPr>
          <a:cxnSpLocks noChangeShapeType="1"/>
        </xdr:cNvCxnSpPr>
      </xdr:nvCxnSpPr>
      <xdr:spPr bwMode="auto">
        <a:xfrm flipV="1">
          <a:off x="314325" y="794480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481</xdr:row>
      <xdr:rowOff>66675</xdr:rowOff>
    </xdr:from>
    <xdr:to>
      <xdr:col>14</xdr:col>
      <xdr:colOff>552450</xdr:colOff>
      <xdr:row>481</xdr:row>
      <xdr:rowOff>66675</xdr:rowOff>
    </xdr:to>
    <xdr:cxnSp macro="">
      <xdr:nvCxnSpPr>
        <xdr:cNvPr id="88" name="9 Conector recto"/>
        <xdr:cNvCxnSpPr>
          <a:cxnSpLocks noChangeShapeType="1"/>
        </xdr:cNvCxnSpPr>
      </xdr:nvCxnSpPr>
      <xdr:spPr bwMode="auto">
        <a:xfrm>
          <a:off x="4314825" y="794385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496</xdr:row>
      <xdr:rowOff>152400</xdr:rowOff>
    </xdr:from>
    <xdr:to>
      <xdr:col>19</xdr:col>
      <xdr:colOff>85725</xdr:colOff>
      <xdr:row>503</xdr:row>
      <xdr:rowOff>28575</xdr:rowOff>
    </xdr:to>
    <xdr:pic>
      <xdr:nvPicPr>
        <xdr:cNvPr id="89" name="8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19531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474</xdr:row>
      <xdr:rowOff>104775</xdr:rowOff>
    </xdr:from>
    <xdr:to>
      <xdr:col>4</xdr:col>
      <xdr:colOff>581025</xdr:colOff>
      <xdr:row>479</xdr:row>
      <xdr:rowOff>47625</xdr:rowOff>
    </xdr:to>
    <xdr:pic>
      <xdr:nvPicPr>
        <xdr:cNvPr id="90" name="Imagen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82669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2</xdr:row>
      <xdr:rowOff>1</xdr:rowOff>
    </xdr:from>
    <xdr:to>
      <xdr:col>4</xdr:col>
      <xdr:colOff>670620</xdr:colOff>
      <xdr:row>4</xdr:row>
      <xdr:rowOff>28576</xdr:rowOff>
    </xdr:to>
    <xdr:pic>
      <xdr:nvPicPr>
        <xdr:cNvPr id="91" name="Imagen 1" descr="Archivo:SEP Logo (2024).png - Wikipedia, la enciclopedia libre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04801"/>
          <a:ext cx="195649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34</xdr:row>
      <xdr:rowOff>142875</xdr:rowOff>
    </xdr:from>
    <xdr:to>
      <xdr:col>4</xdr:col>
      <xdr:colOff>710658</xdr:colOff>
      <xdr:row>36</xdr:row>
      <xdr:rowOff>95249</xdr:rowOff>
    </xdr:to>
    <xdr:pic>
      <xdr:nvPicPr>
        <xdr:cNvPr id="92" name="Imagen 1" descr="Archivo:SEP Logo (2024).png - Wikipedia, la enciclopedia libre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953125"/>
          <a:ext cx="1977483" cy="438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73"/>
  <sheetViews>
    <sheetView tabSelected="1" workbookViewId="0">
      <selection activeCell="V14" sqref="V14"/>
    </sheetView>
  </sheetViews>
  <sheetFormatPr baseColWidth="10" defaultRowHeight="15" x14ac:dyDescent="0.25"/>
  <cols>
    <col min="1" max="1" width="1.7109375" style="2" customWidth="1"/>
    <col min="2" max="2" width="2.5703125" style="2" customWidth="1"/>
    <col min="3" max="3" width="5.5703125" style="2" customWidth="1"/>
    <col min="4" max="6" width="11.42578125" style="2"/>
    <col min="7" max="7" width="10.140625" style="2" customWidth="1"/>
    <col min="8" max="8" width="12.7109375" style="2" customWidth="1"/>
    <col min="9" max="9" width="10.7109375" style="2" customWidth="1"/>
    <col min="10" max="12" width="4.7109375" style="2" customWidth="1"/>
    <col min="13" max="13" width="2" style="2" customWidth="1"/>
    <col min="14" max="14" width="11.7109375" style="2" customWidth="1"/>
    <col min="15" max="15" width="8.42578125" style="2" customWidth="1"/>
    <col min="16" max="16" width="1.7109375" style="2" customWidth="1"/>
    <col min="17" max="17" width="2.85546875" style="2" customWidth="1"/>
    <col min="18" max="250" width="11.42578125" style="2"/>
    <col min="251" max="251" width="1.7109375" style="2" customWidth="1"/>
    <col min="252" max="252" width="2.5703125" style="2" customWidth="1"/>
    <col min="253" max="253" width="5.5703125" style="2" customWidth="1"/>
    <col min="254" max="256" width="11.42578125" style="2"/>
    <col min="257" max="257" width="10.140625" style="2" customWidth="1"/>
    <col min="258" max="258" width="12.7109375" style="2" customWidth="1"/>
    <col min="259" max="259" width="10.7109375" style="2" customWidth="1"/>
    <col min="260" max="262" width="4.7109375" style="2" customWidth="1"/>
    <col min="263" max="263" width="2" style="2" customWidth="1"/>
    <col min="264" max="264" width="11.7109375" style="2" customWidth="1"/>
    <col min="265" max="265" width="8.42578125" style="2" customWidth="1"/>
    <col min="266" max="266" width="1.7109375" style="2" customWidth="1"/>
    <col min="267" max="267" width="2.85546875" style="2" customWidth="1"/>
    <col min="268" max="268" width="1.5703125" style="2" customWidth="1"/>
    <col min="269" max="269" width="18.85546875" style="2" customWidth="1"/>
    <col min="270" max="270" width="26" style="2" customWidth="1"/>
    <col min="271" max="271" width="10.5703125" style="2" customWidth="1"/>
    <col min="272" max="272" width="16.85546875" style="2" customWidth="1"/>
    <col min="273" max="506" width="11.42578125" style="2"/>
    <col min="507" max="507" width="1.7109375" style="2" customWidth="1"/>
    <col min="508" max="508" width="2.5703125" style="2" customWidth="1"/>
    <col min="509" max="509" width="5.5703125" style="2" customWidth="1"/>
    <col min="510" max="512" width="11.42578125" style="2"/>
    <col min="513" max="513" width="10.140625" style="2" customWidth="1"/>
    <col min="514" max="514" width="12.7109375" style="2" customWidth="1"/>
    <col min="515" max="515" width="10.7109375" style="2" customWidth="1"/>
    <col min="516" max="518" width="4.7109375" style="2" customWidth="1"/>
    <col min="519" max="519" width="2" style="2" customWidth="1"/>
    <col min="520" max="520" width="11.7109375" style="2" customWidth="1"/>
    <col min="521" max="521" width="8.42578125" style="2" customWidth="1"/>
    <col min="522" max="522" width="1.7109375" style="2" customWidth="1"/>
    <col min="523" max="523" width="2.85546875" style="2" customWidth="1"/>
    <col min="524" max="524" width="1.5703125" style="2" customWidth="1"/>
    <col min="525" max="525" width="18.85546875" style="2" customWidth="1"/>
    <col min="526" max="526" width="26" style="2" customWidth="1"/>
    <col min="527" max="527" width="10.5703125" style="2" customWidth="1"/>
    <col min="528" max="528" width="16.85546875" style="2" customWidth="1"/>
    <col min="529" max="762" width="11.42578125" style="2"/>
    <col min="763" max="763" width="1.7109375" style="2" customWidth="1"/>
    <col min="764" max="764" width="2.5703125" style="2" customWidth="1"/>
    <col min="765" max="765" width="5.5703125" style="2" customWidth="1"/>
    <col min="766" max="768" width="11.42578125" style="2"/>
    <col min="769" max="769" width="10.140625" style="2" customWidth="1"/>
    <col min="770" max="770" width="12.7109375" style="2" customWidth="1"/>
    <col min="771" max="771" width="10.7109375" style="2" customWidth="1"/>
    <col min="772" max="774" width="4.7109375" style="2" customWidth="1"/>
    <col min="775" max="775" width="2" style="2" customWidth="1"/>
    <col min="776" max="776" width="11.7109375" style="2" customWidth="1"/>
    <col min="777" max="777" width="8.42578125" style="2" customWidth="1"/>
    <col min="778" max="778" width="1.7109375" style="2" customWidth="1"/>
    <col min="779" max="779" width="2.85546875" style="2" customWidth="1"/>
    <col min="780" max="780" width="1.5703125" style="2" customWidth="1"/>
    <col min="781" max="781" width="18.85546875" style="2" customWidth="1"/>
    <col min="782" max="782" width="26" style="2" customWidth="1"/>
    <col min="783" max="783" width="10.5703125" style="2" customWidth="1"/>
    <col min="784" max="784" width="16.85546875" style="2" customWidth="1"/>
    <col min="785" max="1018" width="11.42578125" style="2"/>
    <col min="1019" max="1019" width="1.7109375" style="2" customWidth="1"/>
    <col min="1020" max="1020" width="2.5703125" style="2" customWidth="1"/>
    <col min="1021" max="1021" width="5.5703125" style="2" customWidth="1"/>
    <col min="1022" max="1024" width="11.42578125" style="2"/>
    <col min="1025" max="1025" width="10.140625" style="2" customWidth="1"/>
    <col min="1026" max="1026" width="12.7109375" style="2" customWidth="1"/>
    <col min="1027" max="1027" width="10.7109375" style="2" customWidth="1"/>
    <col min="1028" max="1030" width="4.7109375" style="2" customWidth="1"/>
    <col min="1031" max="1031" width="2" style="2" customWidth="1"/>
    <col min="1032" max="1032" width="11.7109375" style="2" customWidth="1"/>
    <col min="1033" max="1033" width="8.42578125" style="2" customWidth="1"/>
    <col min="1034" max="1034" width="1.7109375" style="2" customWidth="1"/>
    <col min="1035" max="1035" width="2.85546875" style="2" customWidth="1"/>
    <col min="1036" max="1036" width="1.5703125" style="2" customWidth="1"/>
    <col min="1037" max="1037" width="18.85546875" style="2" customWidth="1"/>
    <col min="1038" max="1038" width="26" style="2" customWidth="1"/>
    <col min="1039" max="1039" width="10.5703125" style="2" customWidth="1"/>
    <col min="1040" max="1040" width="16.85546875" style="2" customWidth="1"/>
    <col min="1041" max="1274" width="11.42578125" style="2"/>
    <col min="1275" max="1275" width="1.7109375" style="2" customWidth="1"/>
    <col min="1276" max="1276" width="2.5703125" style="2" customWidth="1"/>
    <col min="1277" max="1277" width="5.5703125" style="2" customWidth="1"/>
    <col min="1278" max="1280" width="11.42578125" style="2"/>
    <col min="1281" max="1281" width="10.140625" style="2" customWidth="1"/>
    <col min="1282" max="1282" width="12.7109375" style="2" customWidth="1"/>
    <col min="1283" max="1283" width="10.7109375" style="2" customWidth="1"/>
    <col min="1284" max="1286" width="4.7109375" style="2" customWidth="1"/>
    <col min="1287" max="1287" width="2" style="2" customWidth="1"/>
    <col min="1288" max="1288" width="11.7109375" style="2" customWidth="1"/>
    <col min="1289" max="1289" width="8.42578125" style="2" customWidth="1"/>
    <col min="1290" max="1290" width="1.7109375" style="2" customWidth="1"/>
    <col min="1291" max="1291" width="2.85546875" style="2" customWidth="1"/>
    <col min="1292" max="1292" width="1.5703125" style="2" customWidth="1"/>
    <col min="1293" max="1293" width="18.85546875" style="2" customWidth="1"/>
    <col min="1294" max="1294" width="26" style="2" customWidth="1"/>
    <col min="1295" max="1295" width="10.5703125" style="2" customWidth="1"/>
    <col min="1296" max="1296" width="16.85546875" style="2" customWidth="1"/>
    <col min="1297" max="1530" width="11.42578125" style="2"/>
    <col min="1531" max="1531" width="1.7109375" style="2" customWidth="1"/>
    <col min="1532" max="1532" width="2.5703125" style="2" customWidth="1"/>
    <col min="1533" max="1533" width="5.5703125" style="2" customWidth="1"/>
    <col min="1534" max="1536" width="11.42578125" style="2"/>
    <col min="1537" max="1537" width="10.140625" style="2" customWidth="1"/>
    <col min="1538" max="1538" width="12.7109375" style="2" customWidth="1"/>
    <col min="1539" max="1539" width="10.7109375" style="2" customWidth="1"/>
    <col min="1540" max="1542" width="4.7109375" style="2" customWidth="1"/>
    <col min="1543" max="1543" width="2" style="2" customWidth="1"/>
    <col min="1544" max="1544" width="11.7109375" style="2" customWidth="1"/>
    <col min="1545" max="1545" width="8.42578125" style="2" customWidth="1"/>
    <col min="1546" max="1546" width="1.7109375" style="2" customWidth="1"/>
    <col min="1547" max="1547" width="2.85546875" style="2" customWidth="1"/>
    <col min="1548" max="1548" width="1.5703125" style="2" customWidth="1"/>
    <col min="1549" max="1549" width="18.85546875" style="2" customWidth="1"/>
    <col min="1550" max="1550" width="26" style="2" customWidth="1"/>
    <col min="1551" max="1551" width="10.5703125" style="2" customWidth="1"/>
    <col min="1552" max="1552" width="16.85546875" style="2" customWidth="1"/>
    <col min="1553" max="1786" width="11.42578125" style="2"/>
    <col min="1787" max="1787" width="1.7109375" style="2" customWidth="1"/>
    <col min="1788" max="1788" width="2.5703125" style="2" customWidth="1"/>
    <col min="1789" max="1789" width="5.5703125" style="2" customWidth="1"/>
    <col min="1790" max="1792" width="11.42578125" style="2"/>
    <col min="1793" max="1793" width="10.140625" style="2" customWidth="1"/>
    <col min="1794" max="1794" width="12.7109375" style="2" customWidth="1"/>
    <col min="1795" max="1795" width="10.7109375" style="2" customWidth="1"/>
    <col min="1796" max="1798" width="4.7109375" style="2" customWidth="1"/>
    <col min="1799" max="1799" width="2" style="2" customWidth="1"/>
    <col min="1800" max="1800" width="11.7109375" style="2" customWidth="1"/>
    <col min="1801" max="1801" width="8.42578125" style="2" customWidth="1"/>
    <col min="1802" max="1802" width="1.7109375" style="2" customWidth="1"/>
    <col min="1803" max="1803" width="2.85546875" style="2" customWidth="1"/>
    <col min="1804" max="1804" width="1.5703125" style="2" customWidth="1"/>
    <col min="1805" max="1805" width="18.85546875" style="2" customWidth="1"/>
    <col min="1806" max="1806" width="26" style="2" customWidth="1"/>
    <col min="1807" max="1807" width="10.5703125" style="2" customWidth="1"/>
    <col min="1808" max="1808" width="16.85546875" style="2" customWidth="1"/>
    <col min="1809" max="2042" width="11.42578125" style="2"/>
    <col min="2043" max="2043" width="1.7109375" style="2" customWidth="1"/>
    <col min="2044" max="2044" width="2.5703125" style="2" customWidth="1"/>
    <col min="2045" max="2045" width="5.5703125" style="2" customWidth="1"/>
    <col min="2046" max="2048" width="11.42578125" style="2"/>
    <col min="2049" max="2049" width="10.140625" style="2" customWidth="1"/>
    <col min="2050" max="2050" width="12.7109375" style="2" customWidth="1"/>
    <col min="2051" max="2051" width="10.7109375" style="2" customWidth="1"/>
    <col min="2052" max="2054" width="4.7109375" style="2" customWidth="1"/>
    <col min="2055" max="2055" width="2" style="2" customWidth="1"/>
    <col min="2056" max="2056" width="11.7109375" style="2" customWidth="1"/>
    <col min="2057" max="2057" width="8.42578125" style="2" customWidth="1"/>
    <col min="2058" max="2058" width="1.7109375" style="2" customWidth="1"/>
    <col min="2059" max="2059" width="2.85546875" style="2" customWidth="1"/>
    <col min="2060" max="2060" width="1.5703125" style="2" customWidth="1"/>
    <col min="2061" max="2061" width="18.85546875" style="2" customWidth="1"/>
    <col min="2062" max="2062" width="26" style="2" customWidth="1"/>
    <col min="2063" max="2063" width="10.5703125" style="2" customWidth="1"/>
    <col min="2064" max="2064" width="16.85546875" style="2" customWidth="1"/>
    <col min="2065" max="2298" width="11.42578125" style="2"/>
    <col min="2299" max="2299" width="1.7109375" style="2" customWidth="1"/>
    <col min="2300" max="2300" width="2.5703125" style="2" customWidth="1"/>
    <col min="2301" max="2301" width="5.5703125" style="2" customWidth="1"/>
    <col min="2302" max="2304" width="11.42578125" style="2"/>
    <col min="2305" max="2305" width="10.140625" style="2" customWidth="1"/>
    <col min="2306" max="2306" width="12.7109375" style="2" customWidth="1"/>
    <col min="2307" max="2307" width="10.7109375" style="2" customWidth="1"/>
    <col min="2308" max="2310" width="4.7109375" style="2" customWidth="1"/>
    <col min="2311" max="2311" width="2" style="2" customWidth="1"/>
    <col min="2312" max="2312" width="11.7109375" style="2" customWidth="1"/>
    <col min="2313" max="2313" width="8.42578125" style="2" customWidth="1"/>
    <col min="2314" max="2314" width="1.7109375" style="2" customWidth="1"/>
    <col min="2315" max="2315" width="2.85546875" style="2" customWidth="1"/>
    <col min="2316" max="2316" width="1.5703125" style="2" customWidth="1"/>
    <col min="2317" max="2317" width="18.85546875" style="2" customWidth="1"/>
    <col min="2318" max="2318" width="26" style="2" customWidth="1"/>
    <col min="2319" max="2319" width="10.5703125" style="2" customWidth="1"/>
    <col min="2320" max="2320" width="16.85546875" style="2" customWidth="1"/>
    <col min="2321" max="2554" width="11.42578125" style="2"/>
    <col min="2555" max="2555" width="1.7109375" style="2" customWidth="1"/>
    <col min="2556" max="2556" width="2.5703125" style="2" customWidth="1"/>
    <col min="2557" max="2557" width="5.5703125" style="2" customWidth="1"/>
    <col min="2558" max="2560" width="11.42578125" style="2"/>
    <col min="2561" max="2561" width="10.140625" style="2" customWidth="1"/>
    <col min="2562" max="2562" width="12.7109375" style="2" customWidth="1"/>
    <col min="2563" max="2563" width="10.7109375" style="2" customWidth="1"/>
    <col min="2564" max="2566" width="4.7109375" style="2" customWidth="1"/>
    <col min="2567" max="2567" width="2" style="2" customWidth="1"/>
    <col min="2568" max="2568" width="11.7109375" style="2" customWidth="1"/>
    <col min="2569" max="2569" width="8.42578125" style="2" customWidth="1"/>
    <col min="2570" max="2570" width="1.7109375" style="2" customWidth="1"/>
    <col min="2571" max="2571" width="2.85546875" style="2" customWidth="1"/>
    <col min="2572" max="2572" width="1.5703125" style="2" customWidth="1"/>
    <col min="2573" max="2573" width="18.85546875" style="2" customWidth="1"/>
    <col min="2574" max="2574" width="26" style="2" customWidth="1"/>
    <col min="2575" max="2575" width="10.5703125" style="2" customWidth="1"/>
    <col min="2576" max="2576" width="16.85546875" style="2" customWidth="1"/>
    <col min="2577" max="2810" width="11.42578125" style="2"/>
    <col min="2811" max="2811" width="1.7109375" style="2" customWidth="1"/>
    <col min="2812" max="2812" width="2.5703125" style="2" customWidth="1"/>
    <col min="2813" max="2813" width="5.5703125" style="2" customWidth="1"/>
    <col min="2814" max="2816" width="11.42578125" style="2"/>
    <col min="2817" max="2817" width="10.140625" style="2" customWidth="1"/>
    <col min="2818" max="2818" width="12.7109375" style="2" customWidth="1"/>
    <col min="2819" max="2819" width="10.7109375" style="2" customWidth="1"/>
    <col min="2820" max="2822" width="4.7109375" style="2" customWidth="1"/>
    <col min="2823" max="2823" width="2" style="2" customWidth="1"/>
    <col min="2824" max="2824" width="11.7109375" style="2" customWidth="1"/>
    <col min="2825" max="2825" width="8.42578125" style="2" customWidth="1"/>
    <col min="2826" max="2826" width="1.7109375" style="2" customWidth="1"/>
    <col min="2827" max="2827" width="2.85546875" style="2" customWidth="1"/>
    <col min="2828" max="2828" width="1.5703125" style="2" customWidth="1"/>
    <col min="2829" max="2829" width="18.85546875" style="2" customWidth="1"/>
    <col min="2830" max="2830" width="26" style="2" customWidth="1"/>
    <col min="2831" max="2831" width="10.5703125" style="2" customWidth="1"/>
    <col min="2832" max="2832" width="16.85546875" style="2" customWidth="1"/>
    <col min="2833" max="3066" width="11.42578125" style="2"/>
    <col min="3067" max="3067" width="1.7109375" style="2" customWidth="1"/>
    <col min="3068" max="3068" width="2.5703125" style="2" customWidth="1"/>
    <col min="3069" max="3069" width="5.5703125" style="2" customWidth="1"/>
    <col min="3070" max="3072" width="11.42578125" style="2"/>
    <col min="3073" max="3073" width="10.140625" style="2" customWidth="1"/>
    <col min="3074" max="3074" width="12.7109375" style="2" customWidth="1"/>
    <col min="3075" max="3075" width="10.7109375" style="2" customWidth="1"/>
    <col min="3076" max="3078" width="4.7109375" style="2" customWidth="1"/>
    <col min="3079" max="3079" width="2" style="2" customWidth="1"/>
    <col min="3080" max="3080" width="11.7109375" style="2" customWidth="1"/>
    <col min="3081" max="3081" width="8.42578125" style="2" customWidth="1"/>
    <col min="3082" max="3082" width="1.7109375" style="2" customWidth="1"/>
    <col min="3083" max="3083" width="2.85546875" style="2" customWidth="1"/>
    <col min="3084" max="3084" width="1.5703125" style="2" customWidth="1"/>
    <col min="3085" max="3085" width="18.85546875" style="2" customWidth="1"/>
    <col min="3086" max="3086" width="26" style="2" customWidth="1"/>
    <col min="3087" max="3087" width="10.5703125" style="2" customWidth="1"/>
    <col min="3088" max="3088" width="16.85546875" style="2" customWidth="1"/>
    <col min="3089" max="3322" width="11.42578125" style="2"/>
    <col min="3323" max="3323" width="1.7109375" style="2" customWidth="1"/>
    <col min="3324" max="3324" width="2.5703125" style="2" customWidth="1"/>
    <col min="3325" max="3325" width="5.5703125" style="2" customWidth="1"/>
    <col min="3326" max="3328" width="11.42578125" style="2"/>
    <col min="3329" max="3329" width="10.140625" style="2" customWidth="1"/>
    <col min="3330" max="3330" width="12.7109375" style="2" customWidth="1"/>
    <col min="3331" max="3331" width="10.7109375" style="2" customWidth="1"/>
    <col min="3332" max="3334" width="4.7109375" style="2" customWidth="1"/>
    <col min="3335" max="3335" width="2" style="2" customWidth="1"/>
    <col min="3336" max="3336" width="11.7109375" style="2" customWidth="1"/>
    <col min="3337" max="3337" width="8.42578125" style="2" customWidth="1"/>
    <col min="3338" max="3338" width="1.7109375" style="2" customWidth="1"/>
    <col min="3339" max="3339" width="2.85546875" style="2" customWidth="1"/>
    <col min="3340" max="3340" width="1.5703125" style="2" customWidth="1"/>
    <col min="3341" max="3341" width="18.85546875" style="2" customWidth="1"/>
    <col min="3342" max="3342" width="26" style="2" customWidth="1"/>
    <col min="3343" max="3343" width="10.5703125" style="2" customWidth="1"/>
    <col min="3344" max="3344" width="16.85546875" style="2" customWidth="1"/>
    <col min="3345" max="3578" width="11.42578125" style="2"/>
    <col min="3579" max="3579" width="1.7109375" style="2" customWidth="1"/>
    <col min="3580" max="3580" width="2.5703125" style="2" customWidth="1"/>
    <col min="3581" max="3581" width="5.5703125" style="2" customWidth="1"/>
    <col min="3582" max="3584" width="11.42578125" style="2"/>
    <col min="3585" max="3585" width="10.140625" style="2" customWidth="1"/>
    <col min="3586" max="3586" width="12.7109375" style="2" customWidth="1"/>
    <col min="3587" max="3587" width="10.7109375" style="2" customWidth="1"/>
    <col min="3588" max="3590" width="4.7109375" style="2" customWidth="1"/>
    <col min="3591" max="3591" width="2" style="2" customWidth="1"/>
    <col min="3592" max="3592" width="11.7109375" style="2" customWidth="1"/>
    <col min="3593" max="3593" width="8.42578125" style="2" customWidth="1"/>
    <col min="3594" max="3594" width="1.7109375" style="2" customWidth="1"/>
    <col min="3595" max="3595" width="2.85546875" style="2" customWidth="1"/>
    <col min="3596" max="3596" width="1.5703125" style="2" customWidth="1"/>
    <col min="3597" max="3597" width="18.85546875" style="2" customWidth="1"/>
    <col min="3598" max="3598" width="26" style="2" customWidth="1"/>
    <col min="3599" max="3599" width="10.5703125" style="2" customWidth="1"/>
    <col min="3600" max="3600" width="16.85546875" style="2" customWidth="1"/>
    <col min="3601" max="3834" width="11.42578125" style="2"/>
    <col min="3835" max="3835" width="1.7109375" style="2" customWidth="1"/>
    <col min="3836" max="3836" width="2.5703125" style="2" customWidth="1"/>
    <col min="3837" max="3837" width="5.5703125" style="2" customWidth="1"/>
    <col min="3838" max="3840" width="11.42578125" style="2"/>
    <col min="3841" max="3841" width="10.140625" style="2" customWidth="1"/>
    <col min="3842" max="3842" width="12.7109375" style="2" customWidth="1"/>
    <col min="3843" max="3843" width="10.7109375" style="2" customWidth="1"/>
    <col min="3844" max="3846" width="4.7109375" style="2" customWidth="1"/>
    <col min="3847" max="3847" width="2" style="2" customWidth="1"/>
    <col min="3848" max="3848" width="11.7109375" style="2" customWidth="1"/>
    <col min="3849" max="3849" width="8.42578125" style="2" customWidth="1"/>
    <col min="3850" max="3850" width="1.7109375" style="2" customWidth="1"/>
    <col min="3851" max="3851" width="2.85546875" style="2" customWidth="1"/>
    <col min="3852" max="3852" width="1.5703125" style="2" customWidth="1"/>
    <col min="3853" max="3853" width="18.85546875" style="2" customWidth="1"/>
    <col min="3854" max="3854" width="26" style="2" customWidth="1"/>
    <col min="3855" max="3855" width="10.5703125" style="2" customWidth="1"/>
    <col min="3856" max="3856" width="16.85546875" style="2" customWidth="1"/>
    <col min="3857" max="4090" width="11.42578125" style="2"/>
    <col min="4091" max="4091" width="1.7109375" style="2" customWidth="1"/>
    <col min="4092" max="4092" width="2.5703125" style="2" customWidth="1"/>
    <col min="4093" max="4093" width="5.5703125" style="2" customWidth="1"/>
    <col min="4094" max="4096" width="11.42578125" style="2"/>
    <col min="4097" max="4097" width="10.140625" style="2" customWidth="1"/>
    <col min="4098" max="4098" width="12.7109375" style="2" customWidth="1"/>
    <col min="4099" max="4099" width="10.7109375" style="2" customWidth="1"/>
    <col min="4100" max="4102" width="4.7109375" style="2" customWidth="1"/>
    <col min="4103" max="4103" width="2" style="2" customWidth="1"/>
    <col min="4104" max="4104" width="11.7109375" style="2" customWidth="1"/>
    <col min="4105" max="4105" width="8.42578125" style="2" customWidth="1"/>
    <col min="4106" max="4106" width="1.7109375" style="2" customWidth="1"/>
    <col min="4107" max="4107" width="2.85546875" style="2" customWidth="1"/>
    <col min="4108" max="4108" width="1.5703125" style="2" customWidth="1"/>
    <col min="4109" max="4109" width="18.85546875" style="2" customWidth="1"/>
    <col min="4110" max="4110" width="26" style="2" customWidth="1"/>
    <col min="4111" max="4111" width="10.5703125" style="2" customWidth="1"/>
    <col min="4112" max="4112" width="16.85546875" style="2" customWidth="1"/>
    <col min="4113" max="4346" width="11.42578125" style="2"/>
    <col min="4347" max="4347" width="1.7109375" style="2" customWidth="1"/>
    <col min="4348" max="4348" width="2.5703125" style="2" customWidth="1"/>
    <col min="4349" max="4349" width="5.5703125" style="2" customWidth="1"/>
    <col min="4350" max="4352" width="11.42578125" style="2"/>
    <col min="4353" max="4353" width="10.140625" style="2" customWidth="1"/>
    <col min="4354" max="4354" width="12.7109375" style="2" customWidth="1"/>
    <col min="4355" max="4355" width="10.7109375" style="2" customWidth="1"/>
    <col min="4356" max="4358" width="4.7109375" style="2" customWidth="1"/>
    <col min="4359" max="4359" width="2" style="2" customWidth="1"/>
    <col min="4360" max="4360" width="11.7109375" style="2" customWidth="1"/>
    <col min="4361" max="4361" width="8.42578125" style="2" customWidth="1"/>
    <col min="4362" max="4362" width="1.7109375" style="2" customWidth="1"/>
    <col min="4363" max="4363" width="2.85546875" style="2" customWidth="1"/>
    <col min="4364" max="4364" width="1.5703125" style="2" customWidth="1"/>
    <col min="4365" max="4365" width="18.85546875" style="2" customWidth="1"/>
    <col min="4366" max="4366" width="26" style="2" customWidth="1"/>
    <col min="4367" max="4367" width="10.5703125" style="2" customWidth="1"/>
    <col min="4368" max="4368" width="16.85546875" style="2" customWidth="1"/>
    <col min="4369" max="4602" width="11.42578125" style="2"/>
    <col min="4603" max="4603" width="1.7109375" style="2" customWidth="1"/>
    <col min="4604" max="4604" width="2.5703125" style="2" customWidth="1"/>
    <col min="4605" max="4605" width="5.5703125" style="2" customWidth="1"/>
    <col min="4606" max="4608" width="11.42578125" style="2"/>
    <col min="4609" max="4609" width="10.140625" style="2" customWidth="1"/>
    <col min="4610" max="4610" width="12.7109375" style="2" customWidth="1"/>
    <col min="4611" max="4611" width="10.7109375" style="2" customWidth="1"/>
    <col min="4612" max="4614" width="4.7109375" style="2" customWidth="1"/>
    <col min="4615" max="4615" width="2" style="2" customWidth="1"/>
    <col min="4616" max="4616" width="11.7109375" style="2" customWidth="1"/>
    <col min="4617" max="4617" width="8.42578125" style="2" customWidth="1"/>
    <col min="4618" max="4618" width="1.7109375" style="2" customWidth="1"/>
    <col min="4619" max="4619" width="2.85546875" style="2" customWidth="1"/>
    <col min="4620" max="4620" width="1.5703125" style="2" customWidth="1"/>
    <col min="4621" max="4621" width="18.85546875" style="2" customWidth="1"/>
    <col min="4622" max="4622" width="26" style="2" customWidth="1"/>
    <col min="4623" max="4623" width="10.5703125" style="2" customWidth="1"/>
    <col min="4624" max="4624" width="16.85546875" style="2" customWidth="1"/>
    <col min="4625" max="4858" width="11.42578125" style="2"/>
    <col min="4859" max="4859" width="1.7109375" style="2" customWidth="1"/>
    <col min="4860" max="4860" width="2.5703125" style="2" customWidth="1"/>
    <col min="4861" max="4861" width="5.5703125" style="2" customWidth="1"/>
    <col min="4862" max="4864" width="11.42578125" style="2"/>
    <col min="4865" max="4865" width="10.140625" style="2" customWidth="1"/>
    <col min="4866" max="4866" width="12.7109375" style="2" customWidth="1"/>
    <col min="4867" max="4867" width="10.7109375" style="2" customWidth="1"/>
    <col min="4868" max="4870" width="4.7109375" style="2" customWidth="1"/>
    <col min="4871" max="4871" width="2" style="2" customWidth="1"/>
    <col min="4872" max="4872" width="11.7109375" style="2" customWidth="1"/>
    <col min="4873" max="4873" width="8.42578125" style="2" customWidth="1"/>
    <col min="4874" max="4874" width="1.7109375" style="2" customWidth="1"/>
    <col min="4875" max="4875" width="2.85546875" style="2" customWidth="1"/>
    <col min="4876" max="4876" width="1.5703125" style="2" customWidth="1"/>
    <col min="4877" max="4877" width="18.85546875" style="2" customWidth="1"/>
    <col min="4878" max="4878" width="26" style="2" customWidth="1"/>
    <col min="4879" max="4879" width="10.5703125" style="2" customWidth="1"/>
    <col min="4880" max="4880" width="16.85546875" style="2" customWidth="1"/>
    <col min="4881" max="5114" width="11.42578125" style="2"/>
    <col min="5115" max="5115" width="1.7109375" style="2" customWidth="1"/>
    <col min="5116" max="5116" width="2.5703125" style="2" customWidth="1"/>
    <col min="5117" max="5117" width="5.5703125" style="2" customWidth="1"/>
    <col min="5118" max="5120" width="11.42578125" style="2"/>
    <col min="5121" max="5121" width="10.140625" style="2" customWidth="1"/>
    <col min="5122" max="5122" width="12.7109375" style="2" customWidth="1"/>
    <col min="5123" max="5123" width="10.7109375" style="2" customWidth="1"/>
    <col min="5124" max="5126" width="4.7109375" style="2" customWidth="1"/>
    <col min="5127" max="5127" width="2" style="2" customWidth="1"/>
    <col min="5128" max="5128" width="11.7109375" style="2" customWidth="1"/>
    <col min="5129" max="5129" width="8.42578125" style="2" customWidth="1"/>
    <col min="5130" max="5130" width="1.7109375" style="2" customWidth="1"/>
    <col min="5131" max="5131" width="2.85546875" style="2" customWidth="1"/>
    <col min="5132" max="5132" width="1.5703125" style="2" customWidth="1"/>
    <col min="5133" max="5133" width="18.85546875" style="2" customWidth="1"/>
    <col min="5134" max="5134" width="26" style="2" customWidth="1"/>
    <col min="5135" max="5135" width="10.5703125" style="2" customWidth="1"/>
    <col min="5136" max="5136" width="16.85546875" style="2" customWidth="1"/>
    <col min="5137" max="5370" width="11.42578125" style="2"/>
    <col min="5371" max="5371" width="1.7109375" style="2" customWidth="1"/>
    <col min="5372" max="5372" width="2.5703125" style="2" customWidth="1"/>
    <col min="5373" max="5373" width="5.5703125" style="2" customWidth="1"/>
    <col min="5374" max="5376" width="11.42578125" style="2"/>
    <col min="5377" max="5377" width="10.140625" style="2" customWidth="1"/>
    <col min="5378" max="5378" width="12.7109375" style="2" customWidth="1"/>
    <col min="5379" max="5379" width="10.7109375" style="2" customWidth="1"/>
    <col min="5380" max="5382" width="4.7109375" style="2" customWidth="1"/>
    <col min="5383" max="5383" width="2" style="2" customWidth="1"/>
    <col min="5384" max="5384" width="11.7109375" style="2" customWidth="1"/>
    <col min="5385" max="5385" width="8.42578125" style="2" customWidth="1"/>
    <col min="5386" max="5386" width="1.7109375" style="2" customWidth="1"/>
    <col min="5387" max="5387" width="2.85546875" style="2" customWidth="1"/>
    <col min="5388" max="5388" width="1.5703125" style="2" customWidth="1"/>
    <col min="5389" max="5389" width="18.85546875" style="2" customWidth="1"/>
    <col min="5390" max="5390" width="26" style="2" customWidth="1"/>
    <col min="5391" max="5391" width="10.5703125" style="2" customWidth="1"/>
    <col min="5392" max="5392" width="16.85546875" style="2" customWidth="1"/>
    <col min="5393" max="5626" width="11.42578125" style="2"/>
    <col min="5627" max="5627" width="1.7109375" style="2" customWidth="1"/>
    <col min="5628" max="5628" width="2.5703125" style="2" customWidth="1"/>
    <col min="5629" max="5629" width="5.5703125" style="2" customWidth="1"/>
    <col min="5630" max="5632" width="11.42578125" style="2"/>
    <col min="5633" max="5633" width="10.140625" style="2" customWidth="1"/>
    <col min="5634" max="5634" width="12.7109375" style="2" customWidth="1"/>
    <col min="5635" max="5635" width="10.7109375" style="2" customWidth="1"/>
    <col min="5636" max="5638" width="4.7109375" style="2" customWidth="1"/>
    <col min="5639" max="5639" width="2" style="2" customWidth="1"/>
    <col min="5640" max="5640" width="11.7109375" style="2" customWidth="1"/>
    <col min="5641" max="5641" width="8.42578125" style="2" customWidth="1"/>
    <col min="5642" max="5642" width="1.7109375" style="2" customWidth="1"/>
    <col min="5643" max="5643" width="2.85546875" style="2" customWidth="1"/>
    <col min="5644" max="5644" width="1.5703125" style="2" customWidth="1"/>
    <col min="5645" max="5645" width="18.85546875" style="2" customWidth="1"/>
    <col min="5646" max="5646" width="26" style="2" customWidth="1"/>
    <col min="5647" max="5647" width="10.5703125" style="2" customWidth="1"/>
    <col min="5648" max="5648" width="16.85546875" style="2" customWidth="1"/>
    <col min="5649" max="5882" width="11.42578125" style="2"/>
    <col min="5883" max="5883" width="1.7109375" style="2" customWidth="1"/>
    <col min="5884" max="5884" width="2.5703125" style="2" customWidth="1"/>
    <col min="5885" max="5885" width="5.5703125" style="2" customWidth="1"/>
    <col min="5886" max="5888" width="11.42578125" style="2"/>
    <col min="5889" max="5889" width="10.140625" style="2" customWidth="1"/>
    <col min="5890" max="5890" width="12.7109375" style="2" customWidth="1"/>
    <col min="5891" max="5891" width="10.7109375" style="2" customWidth="1"/>
    <col min="5892" max="5894" width="4.7109375" style="2" customWidth="1"/>
    <col min="5895" max="5895" width="2" style="2" customWidth="1"/>
    <col min="5896" max="5896" width="11.7109375" style="2" customWidth="1"/>
    <col min="5897" max="5897" width="8.42578125" style="2" customWidth="1"/>
    <col min="5898" max="5898" width="1.7109375" style="2" customWidth="1"/>
    <col min="5899" max="5899" width="2.85546875" style="2" customWidth="1"/>
    <col min="5900" max="5900" width="1.5703125" style="2" customWidth="1"/>
    <col min="5901" max="5901" width="18.85546875" style="2" customWidth="1"/>
    <col min="5902" max="5902" width="26" style="2" customWidth="1"/>
    <col min="5903" max="5903" width="10.5703125" style="2" customWidth="1"/>
    <col min="5904" max="5904" width="16.85546875" style="2" customWidth="1"/>
    <col min="5905" max="6138" width="11.42578125" style="2"/>
    <col min="6139" max="6139" width="1.7109375" style="2" customWidth="1"/>
    <col min="6140" max="6140" width="2.5703125" style="2" customWidth="1"/>
    <col min="6141" max="6141" width="5.5703125" style="2" customWidth="1"/>
    <col min="6142" max="6144" width="11.42578125" style="2"/>
    <col min="6145" max="6145" width="10.140625" style="2" customWidth="1"/>
    <col min="6146" max="6146" width="12.7109375" style="2" customWidth="1"/>
    <col min="6147" max="6147" width="10.7109375" style="2" customWidth="1"/>
    <col min="6148" max="6150" width="4.7109375" style="2" customWidth="1"/>
    <col min="6151" max="6151" width="2" style="2" customWidth="1"/>
    <col min="6152" max="6152" width="11.7109375" style="2" customWidth="1"/>
    <col min="6153" max="6153" width="8.42578125" style="2" customWidth="1"/>
    <col min="6154" max="6154" width="1.7109375" style="2" customWidth="1"/>
    <col min="6155" max="6155" width="2.85546875" style="2" customWidth="1"/>
    <col min="6156" max="6156" width="1.5703125" style="2" customWidth="1"/>
    <col min="6157" max="6157" width="18.85546875" style="2" customWidth="1"/>
    <col min="6158" max="6158" width="26" style="2" customWidth="1"/>
    <col min="6159" max="6159" width="10.5703125" style="2" customWidth="1"/>
    <col min="6160" max="6160" width="16.85546875" style="2" customWidth="1"/>
    <col min="6161" max="6394" width="11.42578125" style="2"/>
    <col min="6395" max="6395" width="1.7109375" style="2" customWidth="1"/>
    <col min="6396" max="6396" width="2.5703125" style="2" customWidth="1"/>
    <col min="6397" max="6397" width="5.5703125" style="2" customWidth="1"/>
    <col min="6398" max="6400" width="11.42578125" style="2"/>
    <col min="6401" max="6401" width="10.140625" style="2" customWidth="1"/>
    <col min="6402" max="6402" width="12.7109375" style="2" customWidth="1"/>
    <col min="6403" max="6403" width="10.7109375" style="2" customWidth="1"/>
    <col min="6404" max="6406" width="4.7109375" style="2" customWidth="1"/>
    <col min="6407" max="6407" width="2" style="2" customWidth="1"/>
    <col min="6408" max="6408" width="11.7109375" style="2" customWidth="1"/>
    <col min="6409" max="6409" width="8.42578125" style="2" customWidth="1"/>
    <col min="6410" max="6410" width="1.7109375" style="2" customWidth="1"/>
    <col min="6411" max="6411" width="2.85546875" style="2" customWidth="1"/>
    <col min="6412" max="6412" width="1.5703125" style="2" customWidth="1"/>
    <col min="6413" max="6413" width="18.85546875" style="2" customWidth="1"/>
    <col min="6414" max="6414" width="26" style="2" customWidth="1"/>
    <col min="6415" max="6415" width="10.5703125" style="2" customWidth="1"/>
    <col min="6416" max="6416" width="16.85546875" style="2" customWidth="1"/>
    <col min="6417" max="6650" width="11.42578125" style="2"/>
    <col min="6651" max="6651" width="1.7109375" style="2" customWidth="1"/>
    <col min="6652" max="6652" width="2.5703125" style="2" customWidth="1"/>
    <col min="6653" max="6653" width="5.5703125" style="2" customWidth="1"/>
    <col min="6654" max="6656" width="11.42578125" style="2"/>
    <col min="6657" max="6657" width="10.140625" style="2" customWidth="1"/>
    <col min="6658" max="6658" width="12.7109375" style="2" customWidth="1"/>
    <col min="6659" max="6659" width="10.7109375" style="2" customWidth="1"/>
    <col min="6660" max="6662" width="4.7109375" style="2" customWidth="1"/>
    <col min="6663" max="6663" width="2" style="2" customWidth="1"/>
    <col min="6664" max="6664" width="11.7109375" style="2" customWidth="1"/>
    <col min="6665" max="6665" width="8.42578125" style="2" customWidth="1"/>
    <col min="6666" max="6666" width="1.7109375" style="2" customWidth="1"/>
    <col min="6667" max="6667" width="2.85546875" style="2" customWidth="1"/>
    <col min="6668" max="6668" width="1.5703125" style="2" customWidth="1"/>
    <col min="6669" max="6669" width="18.85546875" style="2" customWidth="1"/>
    <col min="6670" max="6670" width="26" style="2" customWidth="1"/>
    <col min="6671" max="6671" width="10.5703125" style="2" customWidth="1"/>
    <col min="6672" max="6672" width="16.85546875" style="2" customWidth="1"/>
    <col min="6673" max="6906" width="11.42578125" style="2"/>
    <col min="6907" max="6907" width="1.7109375" style="2" customWidth="1"/>
    <col min="6908" max="6908" width="2.5703125" style="2" customWidth="1"/>
    <col min="6909" max="6909" width="5.5703125" style="2" customWidth="1"/>
    <col min="6910" max="6912" width="11.42578125" style="2"/>
    <col min="6913" max="6913" width="10.140625" style="2" customWidth="1"/>
    <col min="6914" max="6914" width="12.7109375" style="2" customWidth="1"/>
    <col min="6915" max="6915" width="10.7109375" style="2" customWidth="1"/>
    <col min="6916" max="6918" width="4.7109375" style="2" customWidth="1"/>
    <col min="6919" max="6919" width="2" style="2" customWidth="1"/>
    <col min="6920" max="6920" width="11.7109375" style="2" customWidth="1"/>
    <col min="6921" max="6921" width="8.42578125" style="2" customWidth="1"/>
    <col min="6922" max="6922" width="1.7109375" style="2" customWidth="1"/>
    <col min="6923" max="6923" width="2.85546875" style="2" customWidth="1"/>
    <col min="6924" max="6924" width="1.5703125" style="2" customWidth="1"/>
    <col min="6925" max="6925" width="18.85546875" style="2" customWidth="1"/>
    <col min="6926" max="6926" width="26" style="2" customWidth="1"/>
    <col min="6927" max="6927" width="10.5703125" style="2" customWidth="1"/>
    <col min="6928" max="6928" width="16.85546875" style="2" customWidth="1"/>
    <col min="6929" max="7162" width="11.42578125" style="2"/>
    <col min="7163" max="7163" width="1.7109375" style="2" customWidth="1"/>
    <col min="7164" max="7164" width="2.5703125" style="2" customWidth="1"/>
    <col min="7165" max="7165" width="5.5703125" style="2" customWidth="1"/>
    <col min="7166" max="7168" width="11.42578125" style="2"/>
    <col min="7169" max="7169" width="10.140625" style="2" customWidth="1"/>
    <col min="7170" max="7170" width="12.7109375" style="2" customWidth="1"/>
    <col min="7171" max="7171" width="10.7109375" style="2" customWidth="1"/>
    <col min="7172" max="7174" width="4.7109375" style="2" customWidth="1"/>
    <col min="7175" max="7175" width="2" style="2" customWidth="1"/>
    <col min="7176" max="7176" width="11.7109375" style="2" customWidth="1"/>
    <col min="7177" max="7177" width="8.42578125" style="2" customWidth="1"/>
    <col min="7178" max="7178" width="1.7109375" style="2" customWidth="1"/>
    <col min="7179" max="7179" width="2.85546875" style="2" customWidth="1"/>
    <col min="7180" max="7180" width="1.5703125" style="2" customWidth="1"/>
    <col min="7181" max="7181" width="18.85546875" style="2" customWidth="1"/>
    <col min="7182" max="7182" width="26" style="2" customWidth="1"/>
    <col min="7183" max="7183" width="10.5703125" style="2" customWidth="1"/>
    <col min="7184" max="7184" width="16.85546875" style="2" customWidth="1"/>
    <col min="7185" max="7418" width="11.42578125" style="2"/>
    <col min="7419" max="7419" width="1.7109375" style="2" customWidth="1"/>
    <col min="7420" max="7420" width="2.5703125" style="2" customWidth="1"/>
    <col min="7421" max="7421" width="5.5703125" style="2" customWidth="1"/>
    <col min="7422" max="7424" width="11.42578125" style="2"/>
    <col min="7425" max="7425" width="10.140625" style="2" customWidth="1"/>
    <col min="7426" max="7426" width="12.7109375" style="2" customWidth="1"/>
    <col min="7427" max="7427" width="10.7109375" style="2" customWidth="1"/>
    <col min="7428" max="7430" width="4.7109375" style="2" customWidth="1"/>
    <col min="7431" max="7431" width="2" style="2" customWidth="1"/>
    <col min="7432" max="7432" width="11.7109375" style="2" customWidth="1"/>
    <col min="7433" max="7433" width="8.42578125" style="2" customWidth="1"/>
    <col min="7434" max="7434" width="1.7109375" style="2" customWidth="1"/>
    <col min="7435" max="7435" width="2.85546875" style="2" customWidth="1"/>
    <col min="7436" max="7436" width="1.5703125" style="2" customWidth="1"/>
    <col min="7437" max="7437" width="18.85546875" style="2" customWidth="1"/>
    <col min="7438" max="7438" width="26" style="2" customWidth="1"/>
    <col min="7439" max="7439" width="10.5703125" style="2" customWidth="1"/>
    <col min="7440" max="7440" width="16.85546875" style="2" customWidth="1"/>
    <col min="7441" max="7674" width="11.42578125" style="2"/>
    <col min="7675" max="7675" width="1.7109375" style="2" customWidth="1"/>
    <col min="7676" max="7676" width="2.5703125" style="2" customWidth="1"/>
    <col min="7677" max="7677" width="5.5703125" style="2" customWidth="1"/>
    <col min="7678" max="7680" width="11.42578125" style="2"/>
    <col min="7681" max="7681" width="10.140625" style="2" customWidth="1"/>
    <col min="7682" max="7682" width="12.7109375" style="2" customWidth="1"/>
    <col min="7683" max="7683" width="10.7109375" style="2" customWidth="1"/>
    <col min="7684" max="7686" width="4.7109375" style="2" customWidth="1"/>
    <col min="7687" max="7687" width="2" style="2" customWidth="1"/>
    <col min="7688" max="7688" width="11.7109375" style="2" customWidth="1"/>
    <col min="7689" max="7689" width="8.42578125" style="2" customWidth="1"/>
    <col min="7690" max="7690" width="1.7109375" style="2" customWidth="1"/>
    <col min="7691" max="7691" width="2.85546875" style="2" customWidth="1"/>
    <col min="7692" max="7692" width="1.5703125" style="2" customWidth="1"/>
    <col min="7693" max="7693" width="18.85546875" style="2" customWidth="1"/>
    <col min="7694" max="7694" width="26" style="2" customWidth="1"/>
    <col min="7695" max="7695" width="10.5703125" style="2" customWidth="1"/>
    <col min="7696" max="7696" width="16.85546875" style="2" customWidth="1"/>
    <col min="7697" max="7930" width="11.42578125" style="2"/>
    <col min="7931" max="7931" width="1.7109375" style="2" customWidth="1"/>
    <col min="7932" max="7932" width="2.5703125" style="2" customWidth="1"/>
    <col min="7933" max="7933" width="5.5703125" style="2" customWidth="1"/>
    <col min="7934" max="7936" width="11.42578125" style="2"/>
    <col min="7937" max="7937" width="10.140625" style="2" customWidth="1"/>
    <col min="7938" max="7938" width="12.7109375" style="2" customWidth="1"/>
    <col min="7939" max="7939" width="10.7109375" style="2" customWidth="1"/>
    <col min="7940" max="7942" width="4.7109375" style="2" customWidth="1"/>
    <col min="7943" max="7943" width="2" style="2" customWidth="1"/>
    <col min="7944" max="7944" width="11.7109375" style="2" customWidth="1"/>
    <col min="7945" max="7945" width="8.42578125" style="2" customWidth="1"/>
    <col min="7946" max="7946" width="1.7109375" style="2" customWidth="1"/>
    <col min="7947" max="7947" width="2.85546875" style="2" customWidth="1"/>
    <col min="7948" max="7948" width="1.5703125" style="2" customWidth="1"/>
    <col min="7949" max="7949" width="18.85546875" style="2" customWidth="1"/>
    <col min="7950" max="7950" width="26" style="2" customWidth="1"/>
    <col min="7951" max="7951" width="10.5703125" style="2" customWidth="1"/>
    <col min="7952" max="7952" width="16.85546875" style="2" customWidth="1"/>
    <col min="7953" max="8186" width="11.42578125" style="2"/>
    <col min="8187" max="8187" width="1.7109375" style="2" customWidth="1"/>
    <col min="8188" max="8188" width="2.5703125" style="2" customWidth="1"/>
    <col min="8189" max="8189" width="5.5703125" style="2" customWidth="1"/>
    <col min="8190" max="8192" width="11.42578125" style="2"/>
    <col min="8193" max="8193" width="10.140625" style="2" customWidth="1"/>
    <col min="8194" max="8194" width="12.7109375" style="2" customWidth="1"/>
    <col min="8195" max="8195" width="10.7109375" style="2" customWidth="1"/>
    <col min="8196" max="8198" width="4.7109375" style="2" customWidth="1"/>
    <col min="8199" max="8199" width="2" style="2" customWidth="1"/>
    <col min="8200" max="8200" width="11.7109375" style="2" customWidth="1"/>
    <col min="8201" max="8201" width="8.42578125" style="2" customWidth="1"/>
    <col min="8202" max="8202" width="1.7109375" style="2" customWidth="1"/>
    <col min="8203" max="8203" width="2.85546875" style="2" customWidth="1"/>
    <col min="8204" max="8204" width="1.5703125" style="2" customWidth="1"/>
    <col min="8205" max="8205" width="18.85546875" style="2" customWidth="1"/>
    <col min="8206" max="8206" width="26" style="2" customWidth="1"/>
    <col min="8207" max="8207" width="10.5703125" style="2" customWidth="1"/>
    <col min="8208" max="8208" width="16.85546875" style="2" customWidth="1"/>
    <col min="8209" max="8442" width="11.42578125" style="2"/>
    <col min="8443" max="8443" width="1.7109375" style="2" customWidth="1"/>
    <col min="8444" max="8444" width="2.5703125" style="2" customWidth="1"/>
    <col min="8445" max="8445" width="5.5703125" style="2" customWidth="1"/>
    <col min="8446" max="8448" width="11.42578125" style="2"/>
    <col min="8449" max="8449" width="10.140625" style="2" customWidth="1"/>
    <col min="8450" max="8450" width="12.7109375" style="2" customWidth="1"/>
    <col min="8451" max="8451" width="10.7109375" style="2" customWidth="1"/>
    <col min="8452" max="8454" width="4.7109375" style="2" customWidth="1"/>
    <col min="8455" max="8455" width="2" style="2" customWidth="1"/>
    <col min="8456" max="8456" width="11.7109375" style="2" customWidth="1"/>
    <col min="8457" max="8457" width="8.42578125" style="2" customWidth="1"/>
    <col min="8458" max="8458" width="1.7109375" style="2" customWidth="1"/>
    <col min="8459" max="8459" width="2.85546875" style="2" customWidth="1"/>
    <col min="8460" max="8460" width="1.5703125" style="2" customWidth="1"/>
    <col min="8461" max="8461" width="18.85546875" style="2" customWidth="1"/>
    <col min="8462" max="8462" width="26" style="2" customWidth="1"/>
    <col min="8463" max="8463" width="10.5703125" style="2" customWidth="1"/>
    <col min="8464" max="8464" width="16.85546875" style="2" customWidth="1"/>
    <col min="8465" max="8698" width="11.42578125" style="2"/>
    <col min="8699" max="8699" width="1.7109375" style="2" customWidth="1"/>
    <col min="8700" max="8700" width="2.5703125" style="2" customWidth="1"/>
    <col min="8701" max="8701" width="5.5703125" style="2" customWidth="1"/>
    <col min="8702" max="8704" width="11.42578125" style="2"/>
    <col min="8705" max="8705" width="10.140625" style="2" customWidth="1"/>
    <col min="8706" max="8706" width="12.7109375" style="2" customWidth="1"/>
    <col min="8707" max="8707" width="10.7109375" style="2" customWidth="1"/>
    <col min="8708" max="8710" width="4.7109375" style="2" customWidth="1"/>
    <col min="8711" max="8711" width="2" style="2" customWidth="1"/>
    <col min="8712" max="8712" width="11.7109375" style="2" customWidth="1"/>
    <col min="8713" max="8713" width="8.42578125" style="2" customWidth="1"/>
    <col min="8714" max="8714" width="1.7109375" style="2" customWidth="1"/>
    <col min="8715" max="8715" width="2.85546875" style="2" customWidth="1"/>
    <col min="8716" max="8716" width="1.5703125" style="2" customWidth="1"/>
    <col min="8717" max="8717" width="18.85546875" style="2" customWidth="1"/>
    <col min="8718" max="8718" width="26" style="2" customWidth="1"/>
    <col min="8719" max="8719" width="10.5703125" style="2" customWidth="1"/>
    <col min="8720" max="8720" width="16.85546875" style="2" customWidth="1"/>
    <col min="8721" max="8954" width="11.42578125" style="2"/>
    <col min="8955" max="8955" width="1.7109375" style="2" customWidth="1"/>
    <col min="8956" max="8956" width="2.5703125" style="2" customWidth="1"/>
    <col min="8957" max="8957" width="5.5703125" style="2" customWidth="1"/>
    <col min="8958" max="8960" width="11.42578125" style="2"/>
    <col min="8961" max="8961" width="10.140625" style="2" customWidth="1"/>
    <col min="8962" max="8962" width="12.7109375" style="2" customWidth="1"/>
    <col min="8963" max="8963" width="10.7109375" style="2" customWidth="1"/>
    <col min="8964" max="8966" width="4.7109375" style="2" customWidth="1"/>
    <col min="8967" max="8967" width="2" style="2" customWidth="1"/>
    <col min="8968" max="8968" width="11.7109375" style="2" customWidth="1"/>
    <col min="8969" max="8969" width="8.42578125" style="2" customWidth="1"/>
    <col min="8970" max="8970" width="1.7109375" style="2" customWidth="1"/>
    <col min="8971" max="8971" width="2.85546875" style="2" customWidth="1"/>
    <col min="8972" max="8972" width="1.5703125" style="2" customWidth="1"/>
    <col min="8973" max="8973" width="18.85546875" style="2" customWidth="1"/>
    <col min="8974" max="8974" width="26" style="2" customWidth="1"/>
    <col min="8975" max="8975" width="10.5703125" style="2" customWidth="1"/>
    <col min="8976" max="8976" width="16.85546875" style="2" customWidth="1"/>
    <col min="8977" max="9210" width="11.42578125" style="2"/>
    <col min="9211" max="9211" width="1.7109375" style="2" customWidth="1"/>
    <col min="9212" max="9212" width="2.5703125" style="2" customWidth="1"/>
    <col min="9213" max="9213" width="5.5703125" style="2" customWidth="1"/>
    <col min="9214" max="9216" width="11.42578125" style="2"/>
    <col min="9217" max="9217" width="10.140625" style="2" customWidth="1"/>
    <col min="9218" max="9218" width="12.7109375" style="2" customWidth="1"/>
    <col min="9219" max="9219" width="10.7109375" style="2" customWidth="1"/>
    <col min="9220" max="9222" width="4.7109375" style="2" customWidth="1"/>
    <col min="9223" max="9223" width="2" style="2" customWidth="1"/>
    <col min="9224" max="9224" width="11.7109375" style="2" customWidth="1"/>
    <col min="9225" max="9225" width="8.42578125" style="2" customWidth="1"/>
    <col min="9226" max="9226" width="1.7109375" style="2" customWidth="1"/>
    <col min="9227" max="9227" width="2.85546875" style="2" customWidth="1"/>
    <col min="9228" max="9228" width="1.5703125" style="2" customWidth="1"/>
    <col min="9229" max="9229" width="18.85546875" style="2" customWidth="1"/>
    <col min="9230" max="9230" width="26" style="2" customWidth="1"/>
    <col min="9231" max="9231" width="10.5703125" style="2" customWidth="1"/>
    <col min="9232" max="9232" width="16.85546875" style="2" customWidth="1"/>
    <col min="9233" max="9466" width="11.42578125" style="2"/>
    <col min="9467" max="9467" width="1.7109375" style="2" customWidth="1"/>
    <col min="9468" max="9468" width="2.5703125" style="2" customWidth="1"/>
    <col min="9469" max="9469" width="5.5703125" style="2" customWidth="1"/>
    <col min="9470" max="9472" width="11.42578125" style="2"/>
    <col min="9473" max="9473" width="10.140625" style="2" customWidth="1"/>
    <col min="9474" max="9474" width="12.7109375" style="2" customWidth="1"/>
    <col min="9475" max="9475" width="10.7109375" style="2" customWidth="1"/>
    <col min="9476" max="9478" width="4.7109375" style="2" customWidth="1"/>
    <col min="9479" max="9479" width="2" style="2" customWidth="1"/>
    <col min="9480" max="9480" width="11.7109375" style="2" customWidth="1"/>
    <col min="9481" max="9481" width="8.42578125" style="2" customWidth="1"/>
    <col min="9482" max="9482" width="1.7109375" style="2" customWidth="1"/>
    <col min="9483" max="9483" width="2.85546875" style="2" customWidth="1"/>
    <col min="9484" max="9484" width="1.5703125" style="2" customWidth="1"/>
    <col min="9485" max="9485" width="18.85546875" style="2" customWidth="1"/>
    <col min="9486" max="9486" width="26" style="2" customWidth="1"/>
    <col min="9487" max="9487" width="10.5703125" style="2" customWidth="1"/>
    <col min="9488" max="9488" width="16.85546875" style="2" customWidth="1"/>
    <col min="9489" max="9722" width="11.42578125" style="2"/>
    <col min="9723" max="9723" width="1.7109375" style="2" customWidth="1"/>
    <col min="9724" max="9724" width="2.5703125" style="2" customWidth="1"/>
    <col min="9725" max="9725" width="5.5703125" style="2" customWidth="1"/>
    <col min="9726" max="9728" width="11.42578125" style="2"/>
    <col min="9729" max="9729" width="10.140625" style="2" customWidth="1"/>
    <col min="9730" max="9730" width="12.7109375" style="2" customWidth="1"/>
    <col min="9731" max="9731" width="10.7109375" style="2" customWidth="1"/>
    <col min="9732" max="9734" width="4.7109375" style="2" customWidth="1"/>
    <col min="9735" max="9735" width="2" style="2" customWidth="1"/>
    <col min="9736" max="9736" width="11.7109375" style="2" customWidth="1"/>
    <col min="9737" max="9737" width="8.42578125" style="2" customWidth="1"/>
    <col min="9738" max="9738" width="1.7109375" style="2" customWidth="1"/>
    <col min="9739" max="9739" width="2.85546875" style="2" customWidth="1"/>
    <col min="9740" max="9740" width="1.5703125" style="2" customWidth="1"/>
    <col min="9741" max="9741" width="18.85546875" style="2" customWidth="1"/>
    <col min="9742" max="9742" width="26" style="2" customWidth="1"/>
    <col min="9743" max="9743" width="10.5703125" style="2" customWidth="1"/>
    <col min="9744" max="9744" width="16.85546875" style="2" customWidth="1"/>
    <col min="9745" max="9978" width="11.42578125" style="2"/>
    <col min="9979" max="9979" width="1.7109375" style="2" customWidth="1"/>
    <col min="9980" max="9980" width="2.5703125" style="2" customWidth="1"/>
    <col min="9981" max="9981" width="5.5703125" style="2" customWidth="1"/>
    <col min="9982" max="9984" width="11.42578125" style="2"/>
    <col min="9985" max="9985" width="10.140625" style="2" customWidth="1"/>
    <col min="9986" max="9986" width="12.7109375" style="2" customWidth="1"/>
    <col min="9987" max="9987" width="10.7109375" style="2" customWidth="1"/>
    <col min="9988" max="9990" width="4.7109375" style="2" customWidth="1"/>
    <col min="9991" max="9991" width="2" style="2" customWidth="1"/>
    <col min="9992" max="9992" width="11.7109375" style="2" customWidth="1"/>
    <col min="9993" max="9993" width="8.42578125" style="2" customWidth="1"/>
    <col min="9994" max="9994" width="1.7109375" style="2" customWidth="1"/>
    <col min="9995" max="9995" width="2.85546875" style="2" customWidth="1"/>
    <col min="9996" max="9996" width="1.5703125" style="2" customWidth="1"/>
    <col min="9997" max="9997" width="18.85546875" style="2" customWidth="1"/>
    <col min="9998" max="9998" width="26" style="2" customWidth="1"/>
    <col min="9999" max="9999" width="10.5703125" style="2" customWidth="1"/>
    <col min="10000" max="10000" width="16.85546875" style="2" customWidth="1"/>
    <col min="10001" max="10234" width="11.42578125" style="2"/>
    <col min="10235" max="10235" width="1.7109375" style="2" customWidth="1"/>
    <col min="10236" max="10236" width="2.5703125" style="2" customWidth="1"/>
    <col min="10237" max="10237" width="5.5703125" style="2" customWidth="1"/>
    <col min="10238" max="10240" width="11.42578125" style="2"/>
    <col min="10241" max="10241" width="10.140625" style="2" customWidth="1"/>
    <col min="10242" max="10242" width="12.7109375" style="2" customWidth="1"/>
    <col min="10243" max="10243" width="10.7109375" style="2" customWidth="1"/>
    <col min="10244" max="10246" width="4.7109375" style="2" customWidth="1"/>
    <col min="10247" max="10247" width="2" style="2" customWidth="1"/>
    <col min="10248" max="10248" width="11.7109375" style="2" customWidth="1"/>
    <col min="10249" max="10249" width="8.42578125" style="2" customWidth="1"/>
    <col min="10250" max="10250" width="1.7109375" style="2" customWidth="1"/>
    <col min="10251" max="10251" width="2.85546875" style="2" customWidth="1"/>
    <col min="10252" max="10252" width="1.5703125" style="2" customWidth="1"/>
    <col min="10253" max="10253" width="18.85546875" style="2" customWidth="1"/>
    <col min="10254" max="10254" width="26" style="2" customWidth="1"/>
    <col min="10255" max="10255" width="10.5703125" style="2" customWidth="1"/>
    <col min="10256" max="10256" width="16.85546875" style="2" customWidth="1"/>
    <col min="10257" max="10490" width="11.42578125" style="2"/>
    <col min="10491" max="10491" width="1.7109375" style="2" customWidth="1"/>
    <col min="10492" max="10492" width="2.5703125" style="2" customWidth="1"/>
    <col min="10493" max="10493" width="5.5703125" style="2" customWidth="1"/>
    <col min="10494" max="10496" width="11.42578125" style="2"/>
    <col min="10497" max="10497" width="10.140625" style="2" customWidth="1"/>
    <col min="10498" max="10498" width="12.7109375" style="2" customWidth="1"/>
    <col min="10499" max="10499" width="10.7109375" style="2" customWidth="1"/>
    <col min="10500" max="10502" width="4.7109375" style="2" customWidth="1"/>
    <col min="10503" max="10503" width="2" style="2" customWidth="1"/>
    <col min="10504" max="10504" width="11.7109375" style="2" customWidth="1"/>
    <col min="10505" max="10505" width="8.42578125" style="2" customWidth="1"/>
    <col min="10506" max="10506" width="1.7109375" style="2" customWidth="1"/>
    <col min="10507" max="10507" width="2.85546875" style="2" customWidth="1"/>
    <col min="10508" max="10508" width="1.5703125" style="2" customWidth="1"/>
    <col min="10509" max="10509" width="18.85546875" style="2" customWidth="1"/>
    <col min="10510" max="10510" width="26" style="2" customWidth="1"/>
    <col min="10511" max="10511" width="10.5703125" style="2" customWidth="1"/>
    <col min="10512" max="10512" width="16.85546875" style="2" customWidth="1"/>
    <col min="10513" max="10746" width="11.42578125" style="2"/>
    <col min="10747" max="10747" width="1.7109375" style="2" customWidth="1"/>
    <col min="10748" max="10748" width="2.5703125" style="2" customWidth="1"/>
    <col min="10749" max="10749" width="5.5703125" style="2" customWidth="1"/>
    <col min="10750" max="10752" width="11.42578125" style="2"/>
    <col min="10753" max="10753" width="10.140625" style="2" customWidth="1"/>
    <col min="10754" max="10754" width="12.7109375" style="2" customWidth="1"/>
    <col min="10755" max="10755" width="10.7109375" style="2" customWidth="1"/>
    <col min="10756" max="10758" width="4.7109375" style="2" customWidth="1"/>
    <col min="10759" max="10759" width="2" style="2" customWidth="1"/>
    <col min="10760" max="10760" width="11.7109375" style="2" customWidth="1"/>
    <col min="10761" max="10761" width="8.42578125" style="2" customWidth="1"/>
    <col min="10762" max="10762" width="1.7109375" style="2" customWidth="1"/>
    <col min="10763" max="10763" width="2.85546875" style="2" customWidth="1"/>
    <col min="10764" max="10764" width="1.5703125" style="2" customWidth="1"/>
    <col min="10765" max="10765" width="18.85546875" style="2" customWidth="1"/>
    <col min="10766" max="10766" width="26" style="2" customWidth="1"/>
    <col min="10767" max="10767" width="10.5703125" style="2" customWidth="1"/>
    <col min="10768" max="10768" width="16.85546875" style="2" customWidth="1"/>
    <col min="10769" max="11002" width="11.42578125" style="2"/>
    <col min="11003" max="11003" width="1.7109375" style="2" customWidth="1"/>
    <col min="11004" max="11004" width="2.5703125" style="2" customWidth="1"/>
    <col min="11005" max="11005" width="5.5703125" style="2" customWidth="1"/>
    <col min="11006" max="11008" width="11.42578125" style="2"/>
    <col min="11009" max="11009" width="10.140625" style="2" customWidth="1"/>
    <col min="11010" max="11010" width="12.7109375" style="2" customWidth="1"/>
    <col min="11011" max="11011" width="10.7109375" style="2" customWidth="1"/>
    <col min="11012" max="11014" width="4.7109375" style="2" customWidth="1"/>
    <col min="11015" max="11015" width="2" style="2" customWidth="1"/>
    <col min="11016" max="11016" width="11.7109375" style="2" customWidth="1"/>
    <col min="11017" max="11017" width="8.42578125" style="2" customWidth="1"/>
    <col min="11018" max="11018" width="1.7109375" style="2" customWidth="1"/>
    <col min="11019" max="11019" width="2.85546875" style="2" customWidth="1"/>
    <col min="11020" max="11020" width="1.5703125" style="2" customWidth="1"/>
    <col min="11021" max="11021" width="18.85546875" style="2" customWidth="1"/>
    <col min="11022" max="11022" width="26" style="2" customWidth="1"/>
    <col min="11023" max="11023" width="10.5703125" style="2" customWidth="1"/>
    <col min="11024" max="11024" width="16.85546875" style="2" customWidth="1"/>
    <col min="11025" max="11258" width="11.42578125" style="2"/>
    <col min="11259" max="11259" width="1.7109375" style="2" customWidth="1"/>
    <col min="11260" max="11260" width="2.5703125" style="2" customWidth="1"/>
    <col min="11261" max="11261" width="5.5703125" style="2" customWidth="1"/>
    <col min="11262" max="11264" width="11.42578125" style="2"/>
    <col min="11265" max="11265" width="10.140625" style="2" customWidth="1"/>
    <col min="11266" max="11266" width="12.7109375" style="2" customWidth="1"/>
    <col min="11267" max="11267" width="10.7109375" style="2" customWidth="1"/>
    <col min="11268" max="11270" width="4.7109375" style="2" customWidth="1"/>
    <col min="11271" max="11271" width="2" style="2" customWidth="1"/>
    <col min="11272" max="11272" width="11.7109375" style="2" customWidth="1"/>
    <col min="11273" max="11273" width="8.42578125" style="2" customWidth="1"/>
    <col min="11274" max="11274" width="1.7109375" style="2" customWidth="1"/>
    <col min="11275" max="11275" width="2.85546875" style="2" customWidth="1"/>
    <col min="11276" max="11276" width="1.5703125" style="2" customWidth="1"/>
    <col min="11277" max="11277" width="18.85546875" style="2" customWidth="1"/>
    <col min="11278" max="11278" width="26" style="2" customWidth="1"/>
    <col min="11279" max="11279" width="10.5703125" style="2" customWidth="1"/>
    <col min="11280" max="11280" width="16.85546875" style="2" customWidth="1"/>
    <col min="11281" max="11514" width="11.42578125" style="2"/>
    <col min="11515" max="11515" width="1.7109375" style="2" customWidth="1"/>
    <col min="11516" max="11516" width="2.5703125" style="2" customWidth="1"/>
    <col min="11517" max="11517" width="5.5703125" style="2" customWidth="1"/>
    <col min="11518" max="11520" width="11.42578125" style="2"/>
    <col min="11521" max="11521" width="10.140625" style="2" customWidth="1"/>
    <col min="11522" max="11522" width="12.7109375" style="2" customWidth="1"/>
    <col min="11523" max="11523" width="10.7109375" style="2" customWidth="1"/>
    <col min="11524" max="11526" width="4.7109375" style="2" customWidth="1"/>
    <col min="11527" max="11527" width="2" style="2" customWidth="1"/>
    <col min="11528" max="11528" width="11.7109375" style="2" customWidth="1"/>
    <col min="11529" max="11529" width="8.42578125" style="2" customWidth="1"/>
    <col min="11530" max="11530" width="1.7109375" style="2" customWidth="1"/>
    <col min="11531" max="11531" width="2.85546875" style="2" customWidth="1"/>
    <col min="11532" max="11532" width="1.5703125" style="2" customWidth="1"/>
    <col min="11533" max="11533" width="18.85546875" style="2" customWidth="1"/>
    <col min="11534" max="11534" width="26" style="2" customWidth="1"/>
    <col min="11535" max="11535" width="10.5703125" style="2" customWidth="1"/>
    <col min="11536" max="11536" width="16.85546875" style="2" customWidth="1"/>
    <col min="11537" max="11770" width="11.42578125" style="2"/>
    <col min="11771" max="11771" width="1.7109375" style="2" customWidth="1"/>
    <col min="11772" max="11772" width="2.5703125" style="2" customWidth="1"/>
    <col min="11773" max="11773" width="5.5703125" style="2" customWidth="1"/>
    <col min="11774" max="11776" width="11.42578125" style="2"/>
    <col min="11777" max="11777" width="10.140625" style="2" customWidth="1"/>
    <col min="11778" max="11778" width="12.7109375" style="2" customWidth="1"/>
    <col min="11779" max="11779" width="10.7109375" style="2" customWidth="1"/>
    <col min="11780" max="11782" width="4.7109375" style="2" customWidth="1"/>
    <col min="11783" max="11783" width="2" style="2" customWidth="1"/>
    <col min="11784" max="11784" width="11.7109375" style="2" customWidth="1"/>
    <col min="11785" max="11785" width="8.42578125" style="2" customWidth="1"/>
    <col min="11786" max="11786" width="1.7109375" style="2" customWidth="1"/>
    <col min="11787" max="11787" width="2.85546875" style="2" customWidth="1"/>
    <col min="11788" max="11788" width="1.5703125" style="2" customWidth="1"/>
    <col min="11789" max="11789" width="18.85546875" style="2" customWidth="1"/>
    <col min="11790" max="11790" width="26" style="2" customWidth="1"/>
    <col min="11791" max="11791" width="10.5703125" style="2" customWidth="1"/>
    <col min="11792" max="11792" width="16.85546875" style="2" customWidth="1"/>
    <col min="11793" max="12026" width="11.42578125" style="2"/>
    <col min="12027" max="12027" width="1.7109375" style="2" customWidth="1"/>
    <col min="12028" max="12028" width="2.5703125" style="2" customWidth="1"/>
    <col min="12029" max="12029" width="5.5703125" style="2" customWidth="1"/>
    <col min="12030" max="12032" width="11.42578125" style="2"/>
    <col min="12033" max="12033" width="10.140625" style="2" customWidth="1"/>
    <col min="12034" max="12034" width="12.7109375" style="2" customWidth="1"/>
    <col min="12035" max="12035" width="10.7109375" style="2" customWidth="1"/>
    <col min="12036" max="12038" width="4.7109375" style="2" customWidth="1"/>
    <col min="12039" max="12039" width="2" style="2" customWidth="1"/>
    <col min="12040" max="12040" width="11.7109375" style="2" customWidth="1"/>
    <col min="12041" max="12041" width="8.42578125" style="2" customWidth="1"/>
    <col min="12042" max="12042" width="1.7109375" style="2" customWidth="1"/>
    <col min="12043" max="12043" width="2.85546875" style="2" customWidth="1"/>
    <col min="12044" max="12044" width="1.5703125" style="2" customWidth="1"/>
    <col min="12045" max="12045" width="18.85546875" style="2" customWidth="1"/>
    <col min="12046" max="12046" width="26" style="2" customWidth="1"/>
    <col min="12047" max="12047" width="10.5703125" style="2" customWidth="1"/>
    <col min="12048" max="12048" width="16.85546875" style="2" customWidth="1"/>
    <col min="12049" max="12282" width="11.42578125" style="2"/>
    <col min="12283" max="12283" width="1.7109375" style="2" customWidth="1"/>
    <col min="12284" max="12284" width="2.5703125" style="2" customWidth="1"/>
    <col min="12285" max="12285" width="5.5703125" style="2" customWidth="1"/>
    <col min="12286" max="12288" width="11.42578125" style="2"/>
    <col min="12289" max="12289" width="10.140625" style="2" customWidth="1"/>
    <col min="12290" max="12290" width="12.7109375" style="2" customWidth="1"/>
    <col min="12291" max="12291" width="10.7109375" style="2" customWidth="1"/>
    <col min="12292" max="12294" width="4.7109375" style="2" customWidth="1"/>
    <col min="12295" max="12295" width="2" style="2" customWidth="1"/>
    <col min="12296" max="12296" width="11.7109375" style="2" customWidth="1"/>
    <col min="12297" max="12297" width="8.42578125" style="2" customWidth="1"/>
    <col min="12298" max="12298" width="1.7109375" style="2" customWidth="1"/>
    <col min="12299" max="12299" width="2.85546875" style="2" customWidth="1"/>
    <col min="12300" max="12300" width="1.5703125" style="2" customWidth="1"/>
    <col min="12301" max="12301" width="18.85546875" style="2" customWidth="1"/>
    <col min="12302" max="12302" width="26" style="2" customWidth="1"/>
    <col min="12303" max="12303" width="10.5703125" style="2" customWidth="1"/>
    <col min="12304" max="12304" width="16.85546875" style="2" customWidth="1"/>
    <col min="12305" max="12538" width="11.42578125" style="2"/>
    <col min="12539" max="12539" width="1.7109375" style="2" customWidth="1"/>
    <col min="12540" max="12540" width="2.5703125" style="2" customWidth="1"/>
    <col min="12541" max="12541" width="5.5703125" style="2" customWidth="1"/>
    <col min="12542" max="12544" width="11.42578125" style="2"/>
    <col min="12545" max="12545" width="10.140625" style="2" customWidth="1"/>
    <col min="12546" max="12546" width="12.7109375" style="2" customWidth="1"/>
    <col min="12547" max="12547" width="10.7109375" style="2" customWidth="1"/>
    <col min="12548" max="12550" width="4.7109375" style="2" customWidth="1"/>
    <col min="12551" max="12551" width="2" style="2" customWidth="1"/>
    <col min="12552" max="12552" width="11.7109375" style="2" customWidth="1"/>
    <col min="12553" max="12553" width="8.42578125" style="2" customWidth="1"/>
    <col min="12554" max="12554" width="1.7109375" style="2" customWidth="1"/>
    <col min="12555" max="12555" width="2.85546875" style="2" customWidth="1"/>
    <col min="12556" max="12556" width="1.5703125" style="2" customWidth="1"/>
    <col min="12557" max="12557" width="18.85546875" style="2" customWidth="1"/>
    <col min="12558" max="12558" width="26" style="2" customWidth="1"/>
    <col min="12559" max="12559" width="10.5703125" style="2" customWidth="1"/>
    <col min="12560" max="12560" width="16.85546875" style="2" customWidth="1"/>
    <col min="12561" max="12794" width="11.42578125" style="2"/>
    <col min="12795" max="12795" width="1.7109375" style="2" customWidth="1"/>
    <col min="12796" max="12796" width="2.5703125" style="2" customWidth="1"/>
    <col min="12797" max="12797" width="5.5703125" style="2" customWidth="1"/>
    <col min="12798" max="12800" width="11.42578125" style="2"/>
    <col min="12801" max="12801" width="10.140625" style="2" customWidth="1"/>
    <col min="12802" max="12802" width="12.7109375" style="2" customWidth="1"/>
    <col min="12803" max="12803" width="10.7109375" style="2" customWidth="1"/>
    <col min="12804" max="12806" width="4.7109375" style="2" customWidth="1"/>
    <col min="12807" max="12807" width="2" style="2" customWidth="1"/>
    <col min="12808" max="12808" width="11.7109375" style="2" customWidth="1"/>
    <col min="12809" max="12809" width="8.42578125" style="2" customWidth="1"/>
    <col min="12810" max="12810" width="1.7109375" style="2" customWidth="1"/>
    <col min="12811" max="12811" width="2.85546875" style="2" customWidth="1"/>
    <col min="12812" max="12812" width="1.5703125" style="2" customWidth="1"/>
    <col min="12813" max="12813" width="18.85546875" style="2" customWidth="1"/>
    <col min="12814" max="12814" width="26" style="2" customWidth="1"/>
    <col min="12815" max="12815" width="10.5703125" style="2" customWidth="1"/>
    <col min="12816" max="12816" width="16.85546875" style="2" customWidth="1"/>
    <col min="12817" max="13050" width="11.42578125" style="2"/>
    <col min="13051" max="13051" width="1.7109375" style="2" customWidth="1"/>
    <col min="13052" max="13052" width="2.5703125" style="2" customWidth="1"/>
    <col min="13053" max="13053" width="5.5703125" style="2" customWidth="1"/>
    <col min="13054" max="13056" width="11.42578125" style="2"/>
    <col min="13057" max="13057" width="10.140625" style="2" customWidth="1"/>
    <col min="13058" max="13058" width="12.7109375" style="2" customWidth="1"/>
    <col min="13059" max="13059" width="10.7109375" style="2" customWidth="1"/>
    <col min="13060" max="13062" width="4.7109375" style="2" customWidth="1"/>
    <col min="13063" max="13063" width="2" style="2" customWidth="1"/>
    <col min="13064" max="13064" width="11.7109375" style="2" customWidth="1"/>
    <col min="13065" max="13065" width="8.42578125" style="2" customWidth="1"/>
    <col min="13066" max="13066" width="1.7109375" style="2" customWidth="1"/>
    <col min="13067" max="13067" width="2.85546875" style="2" customWidth="1"/>
    <col min="13068" max="13068" width="1.5703125" style="2" customWidth="1"/>
    <col min="13069" max="13069" width="18.85546875" style="2" customWidth="1"/>
    <col min="13070" max="13070" width="26" style="2" customWidth="1"/>
    <col min="13071" max="13071" width="10.5703125" style="2" customWidth="1"/>
    <col min="13072" max="13072" width="16.85546875" style="2" customWidth="1"/>
    <col min="13073" max="13306" width="11.42578125" style="2"/>
    <col min="13307" max="13307" width="1.7109375" style="2" customWidth="1"/>
    <col min="13308" max="13308" width="2.5703125" style="2" customWidth="1"/>
    <col min="13309" max="13309" width="5.5703125" style="2" customWidth="1"/>
    <col min="13310" max="13312" width="11.42578125" style="2"/>
    <col min="13313" max="13313" width="10.140625" style="2" customWidth="1"/>
    <col min="13314" max="13314" width="12.7109375" style="2" customWidth="1"/>
    <col min="13315" max="13315" width="10.7109375" style="2" customWidth="1"/>
    <col min="13316" max="13318" width="4.7109375" style="2" customWidth="1"/>
    <col min="13319" max="13319" width="2" style="2" customWidth="1"/>
    <col min="13320" max="13320" width="11.7109375" style="2" customWidth="1"/>
    <col min="13321" max="13321" width="8.42578125" style="2" customWidth="1"/>
    <col min="13322" max="13322" width="1.7109375" style="2" customWidth="1"/>
    <col min="13323" max="13323" width="2.85546875" style="2" customWidth="1"/>
    <col min="13324" max="13324" width="1.5703125" style="2" customWidth="1"/>
    <col min="13325" max="13325" width="18.85546875" style="2" customWidth="1"/>
    <col min="13326" max="13326" width="26" style="2" customWidth="1"/>
    <col min="13327" max="13327" width="10.5703125" style="2" customWidth="1"/>
    <col min="13328" max="13328" width="16.85546875" style="2" customWidth="1"/>
    <col min="13329" max="13562" width="11.42578125" style="2"/>
    <col min="13563" max="13563" width="1.7109375" style="2" customWidth="1"/>
    <col min="13564" max="13564" width="2.5703125" style="2" customWidth="1"/>
    <col min="13565" max="13565" width="5.5703125" style="2" customWidth="1"/>
    <col min="13566" max="13568" width="11.42578125" style="2"/>
    <col min="13569" max="13569" width="10.140625" style="2" customWidth="1"/>
    <col min="13570" max="13570" width="12.7109375" style="2" customWidth="1"/>
    <col min="13571" max="13571" width="10.7109375" style="2" customWidth="1"/>
    <col min="13572" max="13574" width="4.7109375" style="2" customWidth="1"/>
    <col min="13575" max="13575" width="2" style="2" customWidth="1"/>
    <col min="13576" max="13576" width="11.7109375" style="2" customWidth="1"/>
    <col min="13577" max="13577" width="8.42578125" style="2" customWidth="1"/>
    <col min="13578" max="13578" width="1.7109375" style="2" customWidth="1"/>
    <col min="13579" max="13579" width="2.85546875" style="2" customWidth="1"/>
    <col min="13580" max="13580" width="1.5703125" style="2" customWidth="1"/>
    <col min="13581" max="13581" width="18.85546875" style="2" customWidth="1"/>
    <col min="13582" max="13582" width="26" style="2" customWidth="1"/>
    <col min="13583" max="13583" width="10.5703125" style="2" customWidth="1"/>
    <col min="13584" max="13584" width="16.85546875" style="2" customWidth="1"/>
    <col min="13585" max="13818" width="11.42578125" style="2"/>
    <col min="13819" max="13819" width="1.7109375" style="2" customWidth="1"/>
    <col min="13820" max="13820" width="2.5703125" style="2" customWidth="1"/>
    <col min="13821" max="13821" width="5.5703125" style="2" customWidth="1"/>
    <col min="13822" max="13824" width="11.42578125" style="2"/>
    <col min="13825" max="13825" width="10.140625" style="2" customWidth="1"/>
    <col min="13826" max="13826" width="12.7109375" style="2" customWidth="1"/>
    <col min="13827" max="13827" width="10.7109375" style="2" customWidth="1"/>
    <col min="13828" max="13830" width="4.7109375" style="2" customWidth="1"/>
    <col min="13831" max="13831" width="2" style="2" customWidth="1"/>
    <col min="13832" max="13832" width="11.7109375" style="2" customWidth="1"/>
    <col min="13833" max="13833" width="8.42578125" style="2" customWidth="1"/>
    <col min="13834" max="13834" width="1.7109375" style="2" customWidth="1"/>
    <col min="13835" max="13835" width="2.85546875" style="2" customWidth="1"/>
    <col min="13836" max="13836" width="1.5703125" style="2" customWidth="1"/>
    <col min="13837" max="13837" width="18.85546875" style="2" customWidth="1"/>
    <col min="13838" max="13838" width="26" style="2" customWidth="1"/>
    <col min="13839" max="13839" width="10.5703125" style="2" customWidth="1"/>
    <col min="13840" max="13840" width="16.85546875" style="2" customWidth="1"/>
    <col min="13841" max="14074" width="11.42578125" style="2"/>
    <col min="14075" max="14075" width="1.7109375" style="2" customWidth="1"/>
    <col min="14076" max="14076" width="2.5703125" style="2" customWidth="1"/>
    <col min="14077" max="14077" width="5.5703125" style="2" customWidth="1"/>
    <col min="14078" max="14080" width="11.42578125" style="2"/>
    <col min="14081" max="14081" width="10.140625" style="2" customWidth="1"/>
    <col min="14082" max="14082" width="12.7109375" style="2" customWidth="1"/>
    <col min="14083" max="14083" width="10.7109375" style="2" customWidth="1"/>
    <col min="14084" max="14086" width="4.7109375" style="2" customWidth="1"/>
    <col min="14087" max="14087" width="2" style="2" customWidth="1"/>
    <col min="14088" max="14088" width="11.7109375" style="2" customWidth="1"/>
    <col min="14089" max="14089" width="8.42578125" style="2" customWidth="1"/>
    <col min="14090" max="14090" width="1.7109375" style="2" customWidth="1"/>
    <col min="14091" max="14091" width="2.85546875" style="2" customWidth="1"/>
    <col min="14092" max="14092" width="1.5703125" style="2" customWidth="1"/>
    <col min="14093" max="14093" width="18.85546875" style="2" customWidth="1"/>
    <col min="14094" max="14094" width="26" style="2" customWidth="1"/>
    <col min="14095" max="14095" width="10.5703125" style="2" customWidth="1"/>
    <col min="14096" max="14096" width="16.85546875" style="2" customWidth="1"/>
    <col min="14097" max="14330" width="11.42578125" style="2"/>
    <col min="14331" max="14331" width="1.7109375" style="2" customWidth="1"/>
    <col min="14332" max="14332" width="2.5703125" style="2" customWidth="1"/>
    <col min="14333" max="14333" width="5.5703125" style="2" customWidth="1"/>
    <col min="14334" max="14336" width="11.42578125" style="2"/>
    <col min="14337" max="14337" width="10.140625" style="2" customWidth="1"/>
    <col min="14338" max="14338" width="12.7109375" style="2" customWidth="1"/>
    <col min="14339" max="14339" width="10.7109375" style="2" customWidth="1"/>
    <col min="14340" max="14342" width="4.7109375" style="2" customWidth="1"/>
    <col min="14343" max="14343" width="2" style="2" customWidth="1"/>
    <col min="14344" max="14344" width="11.7109375" style="2" customWidth="1"/>
    <col min="14345" max="14345" width="8.42578125" style="2" customWidth="1"/>
    <col min="14346" max="14346" width="1.7109375" style="2" customWidth="1"/>
    <col min="14347" max="14347" width="2.85546875" style="2" customWidth="1"/>
    <col min="14348" max="14348" width="1.5703125" style="2" customWidth="1"/>
    <col min="14349" max="14349" width="18.85546875" style="2" customWidth="1"/>
    <col min="14350" max="14350" width="26" style="2" customWidth="1"/>
    <col min="14351" max="14351" width="10.5703125" style="2" customWidth="1"/>
    <col min="14352" max="14352" width="16.85546875" style="2" customWidth="1"/>
    <col min="14353" max="14586" width="11.42578125" style="2"/>
    <col min="14587" max="14587" width="1.7109375" style="2" customWidth="1"/>
    <col min="14588" max="14588" width="2.5703125" style="2" customWidth="1"/>
    <col min="14589" max="14589" width="5.5703125" style="2" customWidth="1"/>
    <col min="14590" max="14592" width="11.42578125" style="2"/>
    <col min="14593" max="14593" width="10.140625" style="2" customWidth="1"/>
    <col min="14594" max="14594" width="12.7109375" style="2" customWidth="1"/>
    <col min="14595" max="14595" width="10.7109375" style="2" customWidth="1"/>
    <col min="14596" max="14598" width="4.7109375" style="2" customWidth="1"/>
    <col min="14599" max="14599" width="2" style="2" customWidth="1"/>
    <col min="14600" max="14600" width="11.7109375" style="2" customWidth="1"/>
    <col min="14601" max="14601" width="8.42578125" style="2" customWidth="1"/>
    <col min="14602" max="14602" width="1.7109375" style="2" customWidth="1"/>
    <col min="14603" max="14603" width="2.85546875" style="2" customWidth="1"/>
    <col min="14604" max="14604" width="1.5703125" style="2" customWidth="1"/>
    <col min="14605" max="14605" width="18.85546875" style="2" customWidth="1"/>
    <col min="14606" max="14606" width="26" style="2" customWidth="1"/>
    <col min="14607" max="14607" width="10.5703125" style="2" customWidth="1"/>
    <col min="14608" max="14608" width="16.85546875" style="2" customWidth="1"/>
    <col min="14609" max="14842" width="11.42578125" style="2"/>
    <col min="14843" max="14843" width="1.7109375" style="2" customWidth="1"/>
    <col min="14844" max="14844" width="2.5703125" style="2" customWidth="1"/>
    <col min="14845" max="14845" width="5.5703125" style="2" customWidth="1"/>
    <col min="14846" max="14848" width="11.42578125" style="2"/>
    <col min="14849" max="14849" width="10.140625" style="2" customWidth="1"/>
    <col min="14850" max="14850" width="12.7109375" style="2" customWidth="1"/>
    <col min="14851" max="14851" width="10.7109375" style="2" customWidth="1"/>
    <col min="14852" max="14854" width="4.7109375" style="2" customWidth="1"/>
    <col min="14855" max="14855" width="2" style="2" customWidth="1"/>
    <col min="14856" max="14856" width="11.7109375" style="2" customWidth="1"/>
    <col min="14857" max="14857" width="8.42578125" style="2" customWidth="1"/>
    <col min="14858" max="14858" width="1.7109375" style="2" customWidth="1"/>
    <col min="14859" max="14859" width="2.85546875" style="2" customWidth="1"/>
    <col min="14860" max="14860" width="1.5703125" style="2" customWidth="1"/>
    <col min="14861" max="14861" width="18.85546875" style="2" customWidth="1"/>
    <col min="14862" max="14862" width="26" style="2" customWidth="1"/>
    <col min="14863" max="14863" width="10.5703125" style="2" customWidth="1"/>
    <col min="14864" max="14864" width="16.85546875" style="2" customWidth="1"/>
    <col min="14865" max="15098" width="11.42578125" style="2"/>
    <col min="15099" max="15099" width="1.7109375" style="2" customWidth="1"/>
    <col min="15100" max="15100" width="2.5703125" style="2" customWidth="1"/>
    <col min="15101" max="15101" width="5.5703125" style="2" customWidth="1"/>
    <col min="15102" max="15104" width="11.42578125" style="2"/>
    <col min="15105" max="15105" width="10.140625" style="2" customWidth="1"/>
    <col min="15106" max="15106" width="12.7109375" style="2" customWidth="1"/>
    <col min="15107" max="15107" width="10.7109375" style="2" customWidth="1"/>
    <col min="15108" max="15110" width="4.7109375" style="2" customWidth="1"/>
    <col min="15111" max="15111" width="2" style="2" customWidth="1"/>
    <col min="15112" max="15112" width="11.7109375" style="2" customWidth="1"/>
    <col min="15113" max="15113" width="8.42578125" style="2" customWidth="1"/>
    <col min="15114" max="15114" width="1.7109375" style="2" customWidth="1"/>
    <col min="15115" max="15115" width="2.85546875" style="2" customWidth="1"/>
    <col min="15116" max="15116" width="1.5703125" style="2" customWidth="1"/>
    <col min="15117" max="15117" width="18.85546875" style="2" customWidth="1"/>
    <col min="15118" max="15118" width="26" style="2" customWidth="1"/>
    <col min="15119" max="15119" width="10.5703125" style="2" customWidth="1"/>
    <col min="15120" max="15120" width="16.85546875" style="2" customWidth="1"/>
    <col min="15121" max="15354" width="11.42578125" style="2"/>
    <col min="15355" max="15355" width="1.7109375" style="2" customWidth="1"/>
    <col min="15356" max="15356" width="2.5703125" style="2" customWidth="1"/>
    <col min="15357" max="15357" width="5.5703125" style="2" customWidth="1"/>
    <col min="15358" max="15360" width="11.42578125" style="2"/>
    <col min="15361" max="15361" width="10.140625" style="2" customWidth="1"/>
    <col min="15362" max="15362" width="12.7109375" style="2" customWidth="1"/>
    <col min="15363" max="15363" width="10.7109375" style="2" customWidth="1"/>
    <col min="15364" max="15366" width="4.7109375" style="2" customWidth="1"/>
    <col min="15367" max="15367" width="2" style="2" customWidth="1"/>
    <col min="15368" max="15368" width="11.7109375" style="2" customWidth="1"/>
    <col min="15369" max="15369" width="8.42578125" style="2" customWidth="1"/>
    <col min="15370" max="15370" width="1.7109375" style="2" customWidth="1"/>
    <col min="15371" max="15371" width="2.85546875" style="2" customWidth="1"/>
    <col min="15372" max="15372" width="1.5703125" style="2" customWidth="1"/>
    <col min="15373" max="15373" width="18.85546875" style="2" customWidth="1"/>
    <col min="15374" max="15374" width="26" style="2" customWidth="1"/>
    <col min="15375" max="15375" width="10.5703125" style="2" customWidth="1"/>
    <col min="15376" max="15376" width="16.85546875" style="2" customWidth="1"/>
    <col min="15377" max="15610" width="11.42578125" style="2"/>
    <col min="15611" max="15611" width="1.7109375" style="2" customWidth="1"/>
    <col min="15612" max="15612" width="2.5703125" style="2" customWidth="1"/>
    <col min="15613" max="15613" width="5.5703125" style="2" customWidth="1"/>
    <col min="15614" max="15616" width="11.42578125" style="2"/>
    <col min="15617" max="15617" width="10.140625" style="2" customWidth="1"/>
    <col min="15618" max="15618" width="12.7109375" style="2" customWidth="1"/>
    <col min="15619" max="15619" width="10.7109375" style="2" customWidth="1"/>
    <col min="15620" max="15622" width="4.7109375" style="2" customWidth="1"/>
    <col min="15623" max="15623" width="2" style="2" customWidth="1"/>
    <col min="15624" max="15624" width="11.7109375" style="2" customWidth="1"/>
    <col min="15625" max="15625" width="8.42578125" style="2" customWidth="1"/>
    <col min="15626" max="15626" width="1.7109375" style="2" customWidth="1"/>
    <col min="15627" max="15627" width="2.85546875" style="2" customWidth="1"/>
    <col min="15628" max="15628" width="1.5703125" style="2" customWidth="1"/>
    <col min="15629" max="15629" width="18.85546875" style="2" customWidth="1"/>
    <col min="15630" max="15630" width="26" style="2" customWidth="1"/>
    <col min="15631" max="15631" width="10.5703125" style="2" customWidth="1"/>
    <col min="15632" max="15632" width="16.85546875" style="2" customWidth="1"/>
    <col min="15633" max="15866" width="11.42578125" style="2"/>
    <col min="15867" max="15867" width="1.7109375" style="2" customWidth="1"/>
    <col min="15868" max="15868" width="2.5703125" style="2" customWidth="1"/>
    <col min="15869" max="15869" width="5.5703125" style="2" customWidth="1"/>
    <col min="15870" max="15872" width="11.42578125" style="2"/>
    <col min="15873" max="15873" width="10.140625" style="2" customWidth="1"/>
    <col min="15874" max="15874" width="12.7109375" style="2" customWidth="1"/>
    <col min="15875" max="15875" width="10.7109375" style="2" customWidth="1"/>
    <col min="15876" max="15878" width="4.7109375" style="2" customWidth="1"/>
    <col min="15879" max="15879" width="2" style="2" customWidth="1"/>
    <col min="15880" max="15880" width="11.7109375" style="2" customWidth="1"/>
    <col min="15881" max="15881" width="8.42578125" style="2" customWidth="1"/>
    <col min="15882" max="15882" width="1.7109375" style="2" customWidth="1"/>
    <col min="15883" max="15883" width="2.85546875" style="2" customWidth="1"/>
    <col min="15884" max="15884" width="1.5703125" style="2" customWidth="1"/>
    <col min="15885" max="15885" width="18.85546875" style="2" customWidth="1"/>
    <col min="15886" max="15886" width="26" style="2" customWidth="1"/>
    <col min="15887" max="15887" width="10.5703125" style="2" customWidth="1"/>
    <col min="15888" max="15888" width="16.85546875" style="2" customWidth="1"/>
    <col min="15889" max="16122" width="11.42578125" style="2"/>
    <col min="16123" max="16123" width="1.7109375" style="2" customWidth="1"/>
    <col min="16124" max="16124" width="2.5703125" style="2" customWidth="1"/>
    <col min="16125" max="16125" width="5.5703125" style="2" customWidth="1"/>
    <col min="16126" max="16128" width="11.42578125" style="2"/>
    <col min="16129" max="16129" width="10.140625" style="2" customWidth="1"/>
    <col min="16130" max="16130" width="12.7109375" style="2" customWidth="1"/>
    <col min="16131" max="16131" width="10.7109375" style="2" customWidth="1"/>
    <col min="16132" max="16134" width="4.7109375" style="2" customWidth="1"/>
    <col min="16135" max="16135" width="2" style="2" customWidth="1"/>
    <col min="16136" max="16136" width="11.7109375" style="2" customWidth="1"/>
    <col min="16137" max="16137" width="8.42578125" style="2" customWidth="1"/>
    <col min="16138" max="16138" width="1.7109375" style="2" customWidth="1"/>
    <col min="16139" max="16139" width="2.85546875" style="2" customWidth="1"/>
    <col min="16140" max="16140" width="1.5703125" style="2" customWidth="1"/>
    <col min="16141" max="16141" width="18.85546875" style="2" customWidth="1"/>
    <col min="16142" max="16142" width="26" style="2" customWidth="1"/>
    <col min="16143" max="16143" width="10.5703125" style="2" customWidth="1"/>
    <col min="16144" max="16144" width="16.85546875" style="2" customWidth="1"/>
    <col min="16145" max="16384" width="11.42578125" style="2"/>
  </cols>
  <sheetData>
    <row r="1" spans="1:18" ht="12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2" customHeight="1" x14ac:dyDescent="0.25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1"/>
    </row>
    <row r="3" spans="1:18" ht="12" customHeight="1" x14ac:dyDescent="0.25">
      <c r="A3" s="1"/>
      <c r="B3" s="6"/>
      <c r="C3" s="7"/>
      <c r="D3" s="7"/>
      <c r="E3" s="7"/>
      <c r="F3" s="8" t="s">
        <v>0</v>
      </c>
      <c r="G3" s="8"/>
      <c r="H3" s="8"/>
      <c r="I3" s="9"/>
      <c r="J3" s="10" t="s">
        <v>1</v>
      </c>
      <c r="K3" s="11"/>
      <c r="L3" s="12"/>
      <c r="M3" s="13"/>
      <c r="N3" s="14" t="s">
        <v>2</v>
      </c>
      <c r="O3" s="15"/>
      <c r="P3" s="16"/>
      <c r="Q3" s="1"/>
    </row>
    <row r="4" spans="1:18" ht="17.25" customHeight="1" x14ac:dyDescent="0.25">
      <c r="A4" s="1"/>
      <c r="B4" s="6"/>
      <c r="C4" s="7"/>
      <c r="D4" s="7"/>
      <c r="E4" s="17" t="s">
        <v>3</v>
      </c>
      <c r="F4" s="17"/>
      <c r="G4" s="17"/>
      <c r="H4" s="17"/>
      <c r="I4" s="18"/>
      <c r="J4" s="10">
        <v>610</v>
      </c>
      <c r="K4" s="11"/>
      <c r="L4" s="12"/>
      <c r="M4" s="13"/>
      <c r="N4" s="19" t="s">
        <v>4</v>
      </c>
      <c r="O4" s="20"/>
      <c r="P4" s="16"/>
      <c r="Q4" s="1"/>
    </row>
    <row r="5" spans="1:18" ht="12" customHeight="1" x14ac:dyDescent="0.25">
      <c r="A5" s="1"/>
      <c r="B5" s="6"/>
      <c r="C5" s="7"/>
      <c r="D5" s="7"/>
      <c r="E5" s="7"/>
      <c r="F5" s="21" t="s">
        <v>5</v>
      </c>
      <c r="G5" s="21"/>
      <c r="H5" s="21"/>
      <c r="I5" s="21"/>
      <c r="J5" s="7"/>
      <c r="K5" s="7"/>
      <c r="L5" s="7"/>
      <c r="M5" s="7"/>
      <c r="N5" s="7"/>
      <c r="O5" s="7"/>
      <c r="P5" s="16"/>
      <c r="Q5" s="1"/>
    </row>
    <row r="6" spans="1:18" ht="12" customHeight="1" x14ac:dyDescent="0.25">
      <c r="A6" s="1"/>
      <c r="B6" s="6"/>
      <c r="C6" s="7"/>
      <c r="D6" s="7"/>
      <c r="E6" s="7"/>
      <c r="F6" s="23" t="s">
        <v>6</v>
      </c>
      <c r="G6" s="23"/>
      <c r="H6" s="23"/>
      <c r="I6" s="24"/>
      <c r="J6" s="25" t="s">
        <v>7</v>
      </c>
      <c r="K6" s="26"/>
      <c r="L6" s="27"/>
      <c r="M6" s="7"/>
      <c r="N6" s="14" t="s">
        <v>8</v>
      </c>
      <c r="O6" s="15"/>
      <c r="P6" s="16"/>
      <c r="Q6" s="1"/>
    </row>
    <row r="7" spans="1:18" ht="12" customHeight="1" x14ac:dyDescent="0.25">
      <c r="A7" s="1"/>
      <c r="B7" s="6"/>
      <c r="C7" s="28" t="s">
        <v>9</v>
      </c>
      <c r="D7" s="7"/>
      <c r="E7" s="7"/>
      <c r="F7" s="7"/>
      <c r="G7" s="7"/>
      <c r="H7" s="7"/>
      <c r="I7" s="7"/>
      <c r="J7" s="29">
        <v>46135</v>
      </c>
      <c r="K7" s="30"/>
      <c r="L7" s="31"/>
      <c r="M7" s="7"/>
      <c r="N7" s="32" t="s">
        <v>10</v>
      </c>
      <c r="O7" s="33"/>
      <c r="P7" s="16"/>
      <c r="Q7" s="1"/>
    </row>
    <row r="8" spans="1:18" ht="12" customHeight="1" x14ac:dyDescent="0.25">
      <c r="A8" s="1"/>
      <c r="B8" s="6"/>
      <c r="C8" s="28" t="s">
        <v>11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16"/>
      <c r="Q8" s="1"/>
    </row>
    <row r="9" spans="1:18" ht="12" customHeight="1" x14ac:dyDescent="0.25">
      <c r="A9" s="1"/>
      <c r="B9" s="6"/>
      <c r="C9" s="34" t="s">
        <v>12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16"/>
      <c r="Q9" s="1"/>
    </row>
    <row r="10" spans="1:18" ht="13.5" customHeight="1" x14ac:dyDescent="0.25">
      <c r="A10" s="1"/>
      <c r="B10" s="6"/>
      <c r="C10" s="35" t="s">
        <v>13</v>
      </c>
      <c r="D10" s="36"/>
      <c r="E10" s="36"/>
      <c r="F10" s="36"/>
      <c r="G10" s="36"/>
      <c r="H10" s="36"/>
      <c r="I10" s="37"/>
      <c r="J10" s="7"/>
      <c r="K10" s="14" t="s">
        <v>14</v>
      </c>
      <c r="L10" s="38"/>
      <c r="M10" s="38"/>
      <c r="N10" s="38"/>
      <c r="O10" s="15"/>
      <c r="P10" s="16"/>
      <c r="Q10" s="1"/>
    </row>
    <row r="11" spans="1:18" ht="14.25" customHeight="1" x14ac:dyDescent="0.25">
      <c r="A11" s="1"/>
      <c r="B11" s="39"/>
      <c r="C11" s="14" t="s">
        <v>15</v>
      </c>
      <c r="D11" s="38"/>
      <c r="E11" s="15"/>
      <c r="F11" s="14" t="s">
        <v>16</v>
      </c>
      <c r="G11" s="15"/>
      <c r="H11" s="14" t="s">
        <v>17</v>
      </c>
      <c r="I11" s="15"/>
      <c r="J11" s="7"/>
      <c r="K11" s="40">
        <v>18107010440119</v>
      </c>
      <c r="L11" s="41"/>
      <c r="M11" s="41"/>
      <c r="N11" s="41"/>
      <c r="O11" s="42"/>
      <c r="P11" s="16"/>
      <c r="Q11" s="1"/>
    </row>
    <row r="12" spans="1:18" ht="12.75" customHeight="1" x14ac:dyDescent="0.25">
      <c r="A12" s="1"/>
      <c r="B12" s="6"/>
      <c r="C12" s="7"/>
      <c r="D12" s="7"/>
      <c r="E12" s="7"/>
      <c r="F12" s="7"/>
      <c r="G12" s="7" t="s">
        <v>18</v>
      </c>
      <c r="H12" s="7"/>
      <c r="I12" s="7"/>
      <c r="J12" s="7"/>
      <c r="K12" s="7"/>
      <c r="L12" s="7"/>
      <c r="M12" s="7"/>
      <c r="N12" s="7"/>
      <c r="O12" s="7"/>
      <c r="P12" s="16"/>
      <c r="Q12" s="1"/>
    </row>
    <row r="13" spans="1:18" ht="8.25" customHeight="1" x14ac:dyDescent="0.25">
      <c r="A13" s="1"/>
      <c r="B13" s="6"/>
      <c r="C13" s="3"/>
      <c r="D13" s="4"/>
      <c r="E13" s="4"/>
      <c r="F13" s="43" t="s">
        <v>18</v>
      </c>
      <c r="G13" s="4"/>
      <c r="H13" s="4"/>
      <c r="I13" s="4"/>
      <c r="J13" s="5"/>
      <c r="K13" s="7"/>
      <c r="L13" s="3"/>
      <c r="M13" s="4"/>
      <c r="N13" s="4"/>
      <c r="O13" s="5"/>
      <c r="P13" s="16"/>
      <c r="Q13" s="1"/>
    </row>
    <row r="14" spans="1:18" ht="15.75" customHeight="1" x14ac:dyDescent="0.25">
      <c r="A14" s="1"/>
      <c r="B14" s="6"/>
      <c r="C14" s="44" t="s">
        <v>19</v>
      </c>
      <c r="D14" s="45"/>
      <c r="E14" s="45"/>
      <c r="F14" s="45"/>
      <c r="G14" s="45"/>
      <c r="H14" s="45"/>
      <c r="I14" s="45"/>
      <c r="J14" s="46"/>
      <c r="K14" s="7"/>
      <c r="L14" s="44"/>
      <c r="M14" s="46"/>
      <c r="N14" s="47" t="s">
        <v>20</v>
      </c>
      <c r="O14" s="48"/>
      <c r="P14" s="16"/>
      <c r="Q14" s="1"/>
      <c r="R14"/>
    </row>
    <row r="15" spans="1:18" ht="17.25" customHeight="1" x14ac:dyDescent="0.25">
      <c r="A15" s="1"/>
      <c r="B15" s="6"/>
      <c r="C15" s="14" t="s">
        <v>21</v>
      </c>
      <c r="D15" s="38"/>
      <c r="E15" s="38"/>
      <c r="F15" s="38"/>
      <c r="G15" s="38"/>
      <c r="H15" s="38"/>
      <c r="I15" s="38"/>
      <c r="J15" s="15"/>
      <c r="K15" s="7"/>
      <c r="L15" s="14" t="s">
        <v>22</v>
      </c>
      <c r="M15" s="38"/>
      <c r="N15" s="49" t="s">
        <v>23</v>
      </c>
      <c r="O15" s="50" t="s">
        <v>24</v>
      </c>
      <c r="P15" s="16"/>
      <c r="Q15" s="1"/>
      <c r="R15"/>
    </row>
    <row r="16" spans="1:18" ht="14.25" customHeight="1" x14ac:dyDescent="0.25">
      <c r="A16" s="1"/>
      <c r="B16" s="6"/>
      <c r="C16" s="7"/>
      <c r="D16" s="7"/>
      <c r="E16" s="7"/>
      <c r="F16" s="7"/>
      <c r="G16" s="7"/>
      <c r="H16" s="51" t="s">
        <v>18</v>
      </c>
      <c r="I16" s="7"/>
      <c r="J16" s="7"/>
      <c r="K16" s="7"/>
      <c r="L16" s="7"/>
      <c r="M16" s="7"/>
      <c r="N16" s="7"/>
      <c r="O16" s="7"/>
      <c r="P16" s="16"/>
      <c r="Q16" s="1"/>
    </row>
    <row r="17" spans="1:17" ht="16.5" customHeight="1" x14ac:dyDescent="0.25">
      <c r="A17" s="1"/>
      <c r="B17" s="6"/>
      <c r="C17" s="52" t="s">
        <v>26</v>
      </c>
      <c r="D17" s="53"/>
      <c r="E17" s="54">
        <v>372</v>
      </c>
      <c r="F17" s="55" t="s">
        <v>27</v>
      </c>
      <c r="G17" s="56"/>
      <c r="H17" s="56"/>
      <c r="I17" s="56"/>
      <c r="J17" s="56"/>
      <c r="K17" s="56"/>
      <c r="L17" s="56"/>
      <c r="M17" s="56"/>
      <c r="N17" s="56"/>
      <c r="O17" s="57"/>
      <c r="P17" s="16"/>
      <c r="Q17" s="1"/>
    </row>
    <row r="18" spans="1:17" ht="14.25" customHeight="1" x14ac:dyDescent="0.25">
      <c r="A18" s="1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16"/>
      <c r="Q18" s="1"/>
    </row>
    <row r="19" spans="1:17" ht="16.5" customHeight="1" x14ac:dyDescent="0.25">
      <c r="A19" s="1"/>
      <c r="B19" s="6"/>
      <c r="C19" s="7"/>
      <c r="D19" s="58" t="s">
        <v>28</v>
      </c>
      <c r="E19" s="58" t="s">
        <v>29</v>
      </c>
      <c r="F19" s="59" t="s">
        <v>30</v>
      </c>
      <c r="G19" s="59"/>
      <c r="H19" s="59"/>
      <c r="I19" s="59"/>
      <c r="J19" s="59" t="s">
        <v>31</v>
      </c>
      <c r="K19" s="59"/>
      <c r="L19" s="59"/>
      <c r="M19" s="60"/>
      <c r="N19" s="59" t="s">
        <v>32</v>
      </c>
      <c r="O19" s="59"/>
      <c r="P19" s="16"/>
      <c r="Q19" s="1"/>
    </row>
    <row r="20" spans="1:17" ht="13.5" customHeight="1" x14ac:dyDescent="0.25">
      <c r="A20" s="1"/>
      <c r="B20" s="6"/>
      <c r="C20" s="7"/>
      <c r="D20" s="61">
        <v>1</v>
      </c>
      <c r="E20" s="61" t="s">
        <v>33</v>
      </c>
      <c r="F20" s="62" t="s">
        <v>34</v>
      </c>
      <c r="G20" s="63"/>
      <c r="H20" s="63"/>
      <c r="I20" s="64"/>
      <c r="J20" s="65">
        <v>372</v>
      </c>
      <c r="K20" s="66"/>
      <c r="L20" s="67"/>
      <c r="M20" s="68"/>
      <c r="N20" s="69">
        <f>+D20*J20</f>
        <v>372</v>
      </c>
      <c r="O20" s="70"/>
      <c r="P20" s="16"/>
      <c r="Q20" s="1"/>
    </row>
    <row r="21" spans="1:17" ht="13.5" customHeight="1" x14ac:dyDescent="0.25">
      <c r="A21" s="1"/>
      <c r="B21" s="6"/>
      <c r="C21" s="7"/>
      <c r="D21" s="71"/>
      <c r="E21" s="71"/>
      <c r="F21" s="72" t="s">
        <v>35</v>
      </c>
      <c r="G21" s="73"/>
      <c r="H21" s="73"/>
      <c r="I21" s="74"/>
      <c r="J21" s="75"/>
      <c r="K21" s="76"/>
      <c r="L21" s="77"/>
      <c r="M21" s="78"/>
      <c r="N21" s="79">
        <f>+D21*J21</f>
        <v>0</v>
      </c>
      <c r="O21" s="80"/>
      <c r="P21" s="16"/>
      <c r="Q21" s="1"/>
    </row>
    <row r="22" spans="1:17" ht="15" customHeight="1" x14ac:dyDescent="0.25">
      <c r="A22" s="1"/>
      <c r="B22" s="6"/>
      <c r="C22" s="7"/>
      <c r="D22" s="71"/>
      <c r="E22" s="71"/>
      <c r="F22" s="22"/>
      <c r="G22" s="73"/>
      <c r="H22" s="73"/>
      <c r="I22" s="74"/>
      <c r="J22" s="75"/>
      <c r="K22" s="76"/>
      <c r="L22" s="77"/>
      <c r="M22" s="78"/>
      <c r="N22" s="79">
        <f>+D22*J22</f>
        <v>0</v>
      </c>
      <c r="O22" s="80"/>
      <c r="P22" s="16"/>
      <c r="Q22" s="1"/>
    </row>
    <row r="23" spans="1:17" ht="15" customHeight="1" x14ac:dyDescent="0.25">
      <c r="A23" s="1"/>
      <c r="B23" s="6"/>
      <c r="C23" s="7"/>
      <c r="D23" s="81"/>
      <c r="E23" s="81"/>
      <c r="F23" s="78"/>
      <c r="G23" s="78"/>
      <c r="H23" s="78"/>
      <c r="I23" s="78"/>
      <c r="J23" s="82"/>
      <c r="K23" s="83" t="s">
        <v>36</v>
      </c>
      <c r="L23" s="82"/>
      <c r="M23" s="78"/>
      <c r="N23" s="84">
        <f>SUM(N20:O22)</f>
        <v>372</v>
      </c>
      <c r="O23" s="84"/>
      <c r="P23" s="16"/>
      <c r="Q23" s="1"/>
    </row>
    <row r="24" spans="1:17" ht="8.25" customHeight="1" x14ac:dyDescent="0.25">
      <c r="A24" s="1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16"/>
      <c r="Q24" s="1"/>
    </row>
    <row r="25" spans="1:17" ht="11.25" customHeight="1" x14ac:dyDescent="0.25">
      <c r="A25" s="1"/>
      <c r="B25" s="6"/>
      <c r="C25" s="7"/>
      <c r="D25" s="85" t="s">
        <v>37</v>
      </c>
      <c r="E25" s="86"/>
      <c r="F25" s="87"/>
      <c r="G25" s="85" t="s">
        <v>38</v>
      </c>
      <c r="H25" s="86"/>
      <c r="I25" s="87"/>
      <c r="J25" s="7"/>
      <c r="K25" s="7"/>
      <c r="L25" s="7"/>
      <c r="M25" s="7"/>
      <c r="N25" s="7"/>
      <c r="O25" s="7"/>
      <c r="P25" s="16"/>
      <c r="Q25" s="1"/>
    </row>
    <row r="26" spans="1:17" x14ac:dyDescent="0.25">
      <c r="A26" s="1"/>
      <c r="B26" s="6"/>
      <c r="C26" s="7"/>
      <c r="D26" s="6"/>
      <c r="E26" s="7"/>
      <c r="F26" s="16"/>
      <c r="G26" s="6"/>
      <c r="H26" s="7"/>
      <c r="I26" s="16"/>
      <c r="J26" s="7"/>
      <c r="K26" s="7"/>
      <c r="L26" s="7"/>
      <c r="M26" s="7"/>
      <c r="N26" s="7"/>
      <c r="O26" s="7"/>
      <c r="P26" s="16"/>
      <c r="Q26" s="1"/>
    </row>
    <row r="27" spans="1:17" x14ac:dyDescent="0.25">
      <c r="A27" s="1"/>
      <c r="B27" s="6"/>
      <c r="C27" s="7"/>
      <c r="D27" s="88"/>
      <c r="E27" s="89"/>
      <c r="F27" s="90"/>
      <c r="G27" s="6"/>
      <c r="H27" s="7"/>
      <c r="I27" s="16"/>
      <c r="J27" s="7"/>
      <c r="K27" s="7"/>
      <c r="L27" s="7"/>
      <c r="M27" s="7"/>
      <c r="N27" s="7"/>
      <c r="O27" s="7"/>
      <c r="P27" s="16"/>
      <c r="Q27" s="1"/>
    </row>
    <row r="28" spans="1:17" x14ac:dyDescent="0.25">
      <c r="A28" s="1"/>
      <c r="B28" s="6"/>
      <c r="C28" s="7"/>
      <c r="D28" s="3"/>
      <c r="E28" s="4"/>
      <c r="F28" s="5"/>
      <c r="G28" s="6"/>
      <c r="H28" s="7"/>
      <c r="I28" s="16"/>
      <c r="J28" s="7"/>
      <c r="K28" s="7"/>
      <c r="L28" s="7"/>
      <c r="M28" s="7"/>
      <c r="N28" s="7"/>
      <c r="O28" s="7"/>
      <c r="P28" s="16"/>
      <c r="Q28" s="1"/>
    </row>
    <row r="29" spans="1:17" ht="12" customHeight="1" x14ac:dyDescent="0.25">
      <c r="A29" s="1"/>
      <c r="B29" s="6"/>
      <c r="C29" s="7"/>
      <c r="D29" s="91" t="s">
        <v>39</v>
      </c>
      <c r="E29" s="92"/>
      <c r="F29" s="93"/>
      <c r="G29" s="6"/>
      <c r="H29" s="7"/>
      <c r="I29" s="16"/>
      <c r="J29" s="7"/>
      <c r="K29" s="7"/>
      <c r="L29" s="7"/>
      <c r="M29" s="7"/>
      <c r="N29" s="7"/>
      <c r="O29" s="7"/>
      <c r="P29" s="16"/>
      <c r="Q29" s="1"/>
    </row>
    <row r="30" spans="1:17" x14ac:dyDescent="0.25">
      <c r="A30" s="1"/>
      <c r="B30" s="6"/>
      <c r="C30" s="7"/>
      <c r="D30" s="88"/>
      <c r="E30" s="89"/>
      <c r="F30" s="90"/>
      <c r="G30" s="88"/>
      <c r="H30" s="89"/>
      <c r="I30" s="90"/>
      <c r="J30" s="7"/>
      <c r="K30" s="7"/>
      <c r="L30" s="7"/>
      <c r="M30" s="7"/>
      <c r="N30" s="7"/>
      <c r="O30" s="7"/>
      <c r="P30" s="16"/>
      <c r="Q30" s="1"/>
    </row>
    <row r="31" spans="1:17" x14ac:dyDescent="0.25">
      <c r="A31" s="1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16"/>
      <c r="Q31" s="1"/>
    </row>
    <row r="32" spans="1:17" x14ac:dyDescent="0.25">
      <c r="A32" s="1"/>
      <c r="B32" s="88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90"/>
      <c r="Q32" s="1"/>
    </row>
    <row r="33" spans="1:17" ht="12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0.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1" customHeight="1" x14ac:dyDescent="0.25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  <c r="Q35" s="1"/>
    </row>
    <row r="36" spans="1:17" ht="17.25" customHeight="1" x14ac:dyDescent="0.25">
      <c r="A36" s="1"/>
      <c r="B36" s="6"/>
      <c r="C36" s="7"/>
      <c r="D36" s="7"/>
      <c r="E36" s="7"/>
      <c r="F36" s="8" t="s">
        <v>0</v>
      </c>
      <c r="G36" s="8"/>
      <c r="H36" s="8"/>
      <c r="I36" s="9"/>
      <c r="J36" s="10" t="s">
        <v>1</v>
      </c>
      <c r="K36" s="11"/>
      <c r="L36" s="12"/>
      <c r="M36" s="13"/>
      <c r="N36" s="14" t="s">
        <v>2</v>
      </c>
      <c r="O36" s="15"/>
      <c r="P36" s="16"/>
      <c r="Q36" s="1"/>
    </row>
    <row r="37" spans="1:17" ht="17.25" customHeight="1" x14ac:dyDescent="0.25">
      <c r="A37" s="1"/>
      <c r="B37" s="6"/>
      <c r="C37" s="7"/>
      <c r="D37" s="7"/>
      <c r="E37" s="17" t="s">
        <v>40</v>
      </c>
      <c r="F37" s="17"/>
      <c r="G37" s="17"/>
      <c r="H37" s="17"/>
      <c r="I37" s="18"/>
      <c r="J37" s="10">
        <v>610</v>
      </c>
      <c r="K37" s="11"/>
      <c r="L37" s="12"/>
      <c r="M37" s="13"/>
      <c r="N37" s="19" t="s">
        <v>41</v>
      </c>
      <c r="O37" s="20"/>
      <c r="P37" s="16"/>
      <c r="Q37" s="1"/>
    </row>
    <row r="38" spans="1:17" ht="18" x14ac:dyDescent="0.25">
      <c r="A38" s="1"/>
      <c r="B38" s="6"/>
      <c r="C38" s="7"/>
      <c r="D38" s="7"/>
      <c r="E38" s="7"/>
      <c r="F38" s="21" t="s">
        <v>5</v>
      </c>
      <c r="G38" s="21"/>
      <c r="H38" s="21"/>
      <c r="I38" s="21"/>
      <c r="J38" s="7"/>
      <c r="K38" s="7"/>
      <c r="L38" s="7"/>
      <c r="M38" s="7"/>
      <c r="N38" s="7"/>
      <c r="O38" s="7"/>
      <c r="P38" s="16"/>
      <c r="Q38" s="1"/>
    </row>
    <row r="39" spans="1:17" x14ac:dyDescent="0.25">
      <c r="A39" s="1"/>
      <c r="B39" s="6"/>
      <c r="C39" s="7"/>
      <c r="D39" s="7"/>
      <c r="E39" s="7"/>
      <c r="F39" s="23" t="s">
        <v>6</v>
      </c>
      <c r="G39" s="23"/>
      <c r="H39" s="23"/>
      <c r="I39" s="24"/>
      <c r="J39" s="25" t="s">
        <v>7</v>
      </c>
      <c r="K39" s="26"/>
      <c r="L39" s="27"/>
      <c r="M39" s="7"/>
      <c r="N39" s="14" t="s">
        <v>8</v>
      </c>
      <c r="O39" s="15"/>
      <c r="P39" s="16"/>
      <c r="Q39" s="1"/>
    </row>
    <row r="40" spans="1:17" x14ac:dyDescent="0.25">
      <c r="A40" s="1"/>
      <c r="B40" s="6"/>
      <c r="C40" s="28" t="s">
        <v>9</v>
      </c>
      <c r="D40" s="7"/>
      <c r="E40" s="7"/>
      <c r="F40" s="7"/>
      <c r="G40" s="7"/>
      <c r="H40" s="7"/>
      <c r="I40" s="7"/>
      <c r="J40" s="29">
        <v>46135</v>
      </c>
      <c r="K40" s="30"/>
      <c r="L40" s="31"/>
      <c r="M40" s="7"/>
      <c r="N40" s="94" t="s">
        <v>10</v>
      </c>
      <c r="O40" s="95"/>
      <c r="P40" s="16"/>
      <c r="Q40" s="1"/>
    </row>
    <row r="41" spans="1:17" ht="12" customHeight="1" x14ac:dyDescent="0.25">
      <c r="A41" s="1"/>
      <c r="B41" s="6"/>
      <c r="C41" s="28" t="s">
        <v>11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16"/>
      <c r="Q41" s="1"/>
    </row>
    <row r="42" spans="1:17" x14ac:dyDescent="0.25">
      <c r="A42" s="1"/>
      <c r="B42" s="6"/>
      <c r="C42" s="34" t="s">
        <v>12</v>
      </c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16"/>
      <c r="Q42" s="1"/>
    </row>
    <row r="43" spans="1:17" x14ac:dyDescent="0.25">
      <c r="A43" s="1"/>
      <c r="B43" s="6"/>
      <c r="C43" s="35" t="s">
        <v>42</v>
      </c>
      <c r="D43" s="36"/>
      <c r="E43" s="36"/>
      <c r="F43" s="36"/>
      <c r="G43" s="36"/>
      <c r="H43" s="36"/>
      <c r="I43" s="37"/>
      <c r="J43" s="7"/>
      <c r="K43" s="14" t="s">
        <v>14</v>
      </c>
      <c r="L43" s="38"/>
      <c r="M43" s="38"/>
      <c r="N43" s="38"/>
      <c r="O43" s="15"/>
      <c r="P43" s="16"/>
      <c r="Q43" s="1"/>
    </row>
    <row r="44" spans="1:17" x14ac:dyDescent="0.25">
      <c r="A44" s="1"/>
      <c r="B44" s="39"/>
      <c r="C44" s="14" t="s">
        <v>15</v>
      </c>
      <c r="D44" s="38"/>
      <c r="E44" s="15"/>
      <c r="F44" s="14" t="s">
        <v>16</v>
      </c>
      <c r="G44" s="15"/>
      <c r="H44" s="14" t="s">
        <v>17</v>
      </c>
      <c r="I44" s="15"/>
      <c r="J44" s="7"/>
      <c r="K44" s="96">
        <v>23107010440051</v>
      </c>
      <c r="L44" s="97"/>
      <c r="M44" s="97"/>
      <c r="N44" s="97"/>
      <c r="O44" s="98"/>
      <c r="P44" s="16"/>
      <c r="Q44" s="1"/>
    </row>
    <row r="45" spans="1:17" x14ac:dyDescent="0.25">
      <c r="B45" s="6"/>
      <c r="C45" s="7"/>
      <c r="D45" s="7"/>
      <c r="E45" s="7"/>
      <c r="F45" s="7"/>
      <c r="G45" s="7"/>
      <c r="H45" s="7"/>
      <c r="I45" s="7"/>
      <c r="J45" s="7"/>
      <c r="K45" s="51"/>
      <c r="L45" s="7"/>
      <c r="M45" s="7"/>
      <c r="N45" s="7"/>
      <c r="O45" s="7"/>
      <c r="P45" s="16"/>
      <c r="Q45" s="1"/>
    </row>
    <row r="46" spans="1:17" ht="8.25" customHeight="1" x14ac:dyDescent="0.25">
      <c r="B46" s="6"/>
      <c r="C46" s="3"/>
      <c r="D46" s="4"/>
      <c r="E46" s="4"/>
      <c r="F46" s="4"/>
      <c r="G46" s="4"/>
      <c r="H46" s="4"/>
      <c r="I46" s="4"/>
      <c r="J46" s="5"/>
      <c r="K46" s="7"/>
      <c r="L46" s="3"/>
      <c r="M46" s="4"/>
      <c r="N46" s="4"/>
      <c r="O46" s="5"/>
      <c r="P46" s="16"/>
      <c r="Q46" s="1"/>
    </row>
    <row r="47" spans="1:17" x14ac:dyDescent="0.25">
      <c r="B47" s="6"/>
      <c r="C47" s="44" t="s">
        <v>43</v>
      </c>
      <c r="D47" s="45"/>
      <c r="E47" s="45"/>
      <c r="F47" s="45"/>
      <c r="G47" s="45"/>
      <c r="H47" s="45"/>
      <c r="I47" s="45"/>
      <c r="J47" s="46"/>
      <c r="K47" s="7"/>
      <c r="L47" s="44" t="s">
        <v>44</v>
      </c>
      <c r="M47" s="46"/>
      <c r="N47" s="99" t="s">
        <v>25</v>
      </c>
      <c r="O47" s="48" t="s">
        <v>45</v>
      </c>
      <c r="P47" s="16"/>
      <c r="Q47" s="1"/>
    </row>
    <row r="48" spans="1:17" x14ac:dyDescent="0.25">
      <c r="B48" s="6"/>
      <c r="C48" s="14" t="s">
        <v>21</v>
      </c>
      <c r="D48" s="38"/>
      <c r="E48" s="38"/>
      <c r="F48" s="38"/>
      <c r="G48" s="38"/>
      <c r="H48" s="38"/>
      <c r="I48" s="38"/>
      <c r="J48" s="15"/>
      <c r="K48" s="7"/>
      <c r="L48" s="14" t="s">
        <v>22</v>
      </c>
      <c r="M48" s="38"/>
      <c r="N48" s="49" t="s">
        <v>23</v>
      </c>
      <c r="O48" s="50" t="s">
        <v>24</v>
      </c>
      <c r="P48" s="16"/>
      <c r="Q48" s="1"/>
    </row>
    <row r="49" spans="2:17" x14ac:dyDescent="0.25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16"/>
      <c r="Q49" s="1"/>
    </row>
    <row r="50" spans="2:17" x14ac:dyDescent="0.25">
      <c r="B50" s="6"/>
      <c r="C50" s="52" t="s">
        <v>26</v>
      </c>
      <c r="D50" s="53"/>
      <c r="E50" s="54">
        <v>100</v>
      </c>
      <c r="F50" s="55" t="s">
        <v>46</v>
      </c>
      <c r="G50" s="56"/>
      <c r="H50" s="56"/>
      <c r="I50" s="56"/>
      <c r="J50" s="56"/>
      <c r="K50" s="56"/>
      <c r="L50" s="56"/>
      <c r="M50" s="56"/>
      <c r="N50" s="56"/>
      <c r="O50" s="57"/>
      <c r="P50" s="16"/>
      <c r="Q50" s="1"/>
    </row>
    <row r="51" spans="2:17" x14ac:dyDescent="0.25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16"/>
      <c r="Q51" s="1"/>
    </row>
    <row r="52" spans="2:17" x14ac:dyDescent="0.25">
      <c r="B52" s="6"/>
      <c r="C52" s="7"/>
      <c r="D52" s="58" t="s">
        <v>28</v>
      </c>
      <c r="E52" s="58" t="s">
        <v>29</v>
      </c>
      <c r="F52" s="59" t="s">
        <v>30</v>
      </c>
      <c r="G52" s="59"/>
      <c r="H52" s="59"/>
      <c r="I52" s="59"/>
      <c r="J52" s="59" t="s">
        <v>31</v>
      </c>
      <c r="K52" s="59"/>
      <c r="L52" s="59"/>
      <c r="M52" s="60"/>
      <c r="N52" s="59" t="s">
        <v>32</v>
      </c>
      <c r="O52" s="59"/>
      <c r="P52" s="16"/>
      <c r="Q52" s="1"/>
    </row>
    <row r="53" spans="2:17" x14ac:dyDescent="0.25">
      <c r="B53" s="6"/>
      <c r="C53" s="7"/>
      <c r="D53" s="61">
        <v>1</v>
      </c>
      <c r="E53" s="61" t="s">
        <v>33</v>
      </c>
      <c r="F53" s="62" t="s">
        <v>34</v>
      </c>
      <c r="G53" s="63"/>
      <c r="H53" s="63"/>
      <c r="I53" s="64"/>
      <c r="J53" s="65">
        <v>100</v>
      </c>
      <c r="K53" s="66"/>
      <c r="L53" s="67"/>
      <c r="M53" s="68"/>
      <c r="N53" s="69">
        <f>+D53*J53</f>
        <v>100</v>
      </c>
      <c r="O53" s="70"/>
      <c r="P53" s="16"/>
      <c r="Q53" s="1"/>
    </row>
    <row r="54" spans="2:17" x14ac:dyDescent="0.25">
      <c r="B54" s="6"/>
      <c r="C54" s="7"/>
      <c r="D54" s="71"/>
      <c r="E54" s="71"/>
      <c r="F54" s="72" t="s">
        <v>35</v>
      </c>
      <c r="G54" s="73"/>
      <c r="H54" s="73"/>
      <c r="I54" s="74"/>
      <c r="J54" s="75"/>
      <c r="K54" s="76"/>
      <c r="L54" s="77"/>
      <c r="M54" s="78"/>
      <c r="N54" s="79">
        <f>+D54*J54</f>
        <v>0</v>
      </c>
      <c r="O54" s="80"/>
      <c r="P54" s="16"/>
      <c r="Q54" s="1"/>
    </row>
    <row r="55" spans="2:17" x14ac:dyDescent="0.25">
      <c r="B55" s="6"/>
      <c r="C55" s="7"/>
      <c r="D55" s="71"/>
      <c r="E55" s="71"/>
      <c r="F55" s="22" t="s">
        <v>47</v>
      </c>
      <c r="G55" s="73"/>
      <c r="H55" s="73"/>
      <c r="I55" s="74"/>
      <c r="J55" s="75"/>
      <c r="K55" s="76"/>
      <c r="L55" s="77"/>
      <c r="M55" s="78"/>
      <c r="N55" s="79">
        <f>+D55*J55</f>
        <v>0</v>
      </c>
      <c r="O55" s="80"/>
      <c r="P55" s="16"/>
      <c r="Q55" s="1"/>
    </row>
    <row r="56" spans="2:17" x14ac:dyDescent="0.25">
      <c r="B56" s="6"/>
      <c r="C56" s="7"/>
      <c r="D56" s="81"/>
      <c r="E56" s="81"/>
      <c r="F56" s="78"/>
      <c r="G56" s="78"/>
      <c r="H56" s="78"/>
      <c r="I56" s="78"/>
      <c r="J56" s="82"/>
      <c r="K56" s="83" t="s">
        <v>36</v>
      </c>
      <c r="L56" s="82"/>
      <c r="M56" s="78"/>
      <c r="N56" s="84">
        <f>SUM(N53:O55)</f>
        <v>100</v>
      </c>
      <c r="O56" s="84"/>
      <c r="P56" s="16"/>
      <c r="Q56" s="1"/>
    </row>
    <row r="57" spans="2:17" x14ac:dyDescent="0.25"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16"/>
      <c r="Q57" s="1"/>
    </row>
    <row r="58" spans="2:17" x14ac:dyDescent="0.25">
      <c r="B58" s="6"/>
      <c r="C58" s="7"/>
      <c r="D58" s="85" t="s">
        <v>37</v>
      </c>
      <c r="E58" s="86"/>
      <c r="F58" s="87"/>
      <c r="G58" s="85" t="s">
        <v>38</v>
      </c>
      <c r="H58" s="86"/>
      <c r="I58" s="87"/>
      <c r="J58" s="7"/>
      <c r="K58" s="7"/>
      <c r="L58" s="7"/>
      <c r="M58" s="7"/>
      <c r="N58" s="7"/>
      <c r="O58" s="7"/>
      <c r="P58" s="16"/>
      <c r="Q58" s="1"/>
    </row>
    <row r="59" spans="2:17" x14ac:dyDescent="0.25">
      <c r="B59" s="6"/>
      <c r="C59" s="7"/>
      <c r="D59" s="6"/>
      <c r="E59" s="7"/>
      <c r="F59" s="16"/>
      <c r="G59" s="6"/>
      <c r="H59" s="7"/>
      <c r="I59" s="16"/>
      <c r="J59" s="7"/>
      <c r="K59" s="7"/>
      <c r="L59" s="7"/>
      <c r="M59" s="7"/>
      <c r="N59" s="7"/>
      <c r="O59" s="7"/>
      <c r="P59" s="16"/>
      <c r="Q59" s="1"/>
    </row>
    <row r="60" spans="2:17" x14ac:dyDescent="0.25">
      <c r="B60" s="6"/>
      <c r="C60" s="7"/>
      <c r="D60" s="88"/>
      <c r="E60" s="89"/>
      <c r="F60" s="90"/>
      <c r="G60" s="6"/>
      <c r="H60" s="7"/>
      <c r="I60" s="16"/>
      <c r="J60" s="7"/>
      <c r="K60" s="7"/>
      <c r="L60" s="7"/>
      <c r="M60" s="7"/>
      <c r="N60" s="7"/>
      <c r="O60" s="7"/>
      <c r="P60" s="16"/>
      <c r="Q60" s="1"/>
    </row>
    <row r="61" spans="2:17" x14ac:dyDescent="0.25">
      <c r="B61" s="6"/>
      <c r="C61" s="7"/>
      <c r="D61" s="3"/>
      <c r="E61" s="4"/>
      <c r="F61" s="5"/>
      <c r="G61" s="6"/>
      <c r="H61" s="7"/>
      <c r="I61" s="16"/>
      <c r="J61" s="7"/>
      <c r="K61" s="7"/>
      <c r="L61" s="7"/>
      <c r="M61" s="7"/>
      <c r="N61" s="7"/>
      <c r="O61" s="7"/>
      <c r="P61" s="16"/>
      <c r="Q61" s="1"/>
    </row>
    <row r="62" spans="2:17" x14ac:dyDescent="0.25">
      <c r="B62" s="6"/>
      <c r="C62" s="7"/>
      <c r="D62" s="91" t="s">
        <v>39</v>
      </c>
      <c r="E62" s="92"/>
      <c r="F62" s="93"/>
      <c r="G62" s="6"/>
      <c r="H62" s="7"/>
      <c r="I62" s="16"/>
      <c r="J62" s="7"/>
      <c r="K62" s="7"/>
      <c r="L62" s="7"/>
      <c r="M62" s="7"/>
      <c r="N62" s="7"/>
      <c r="O62" s="7"/>
      <c r="P62" s="16"/>
      <c r="Q62" s="1"/>
    </row>
    <row r="63" spans="2:17" x14ac:dyDescent="0.25">
      <c r="B63" s="6"/>
      <c r="C63" s="7"/>
      <c r="D63" s="88"/>
      <c r="E63" s="89"/>
      <c r="F63" s="90"/>
      <c r="G63" s="88"/>
      <c r="H63" s="89"/>
      <c r="I63" s="90"/>
      <c r="J63" s="7"/>
      <c r="K63" s="7"/>
      <c r="L63" s="7"/>
      <c r="M63" s="7"/>
      <c r="N63" s="7"/>
      <c r="O63" s="7"/>
      <c r="P63" s="16"/>
      <c r="Q63" s="1"/>
    </row>
    <row r="64" spans="2:17" x14ac:dyDescent="0.25"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16"/>
      <c r="Q64" s="1"/>
    </row>
    <row r="65" spans="2:17" x14ac:dyDescent="0.25">
      <c r="B65" s="88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90"/>
      <c r="Q65" s="1"/>
    </row>
    <row r="66" spans="2:17" x14ac:dyDescent="0.25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x14ac:dyDescent="0.25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x14ac:dyDescent="0.25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6" x14ac:dyDescent="0.25">
      <c r="A129" s="1"/>
    </row>
    <row r="130" spans="1:16" x14ac:dyDescent="0.25">
      <c r="A130" s="1"/>
    </row>
    <row r="131" spans="1:16" x14ac:dyDescent="0.25">
      <c r="A131" s="1"/>
    </row>
    <row r="132" spans="1:16" x14ac:dyDescent="0.25">
      <c r="A132" s="1"/>
    </row>
    <row r="133" spans="1:16" x14ac:dyDescent="0.25">
      <c r="A133" s="1"/>
    </row>
    <row r="134" spans="1:16" x14ac:dyDescent="0.25">
      <c r="A134" s="1"/>
    </row>
    <row r="135" spans="1:16" x14ac:dyDescent="0.25">
      <c r="A135" s="1"/>
    </row>
    <row r="136" spans="1:16" x14ac:dyDescent="0.25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101"/>
    </row>
    <row r="137" spans="1:16" x14ac:dyDescent="0.25">
      <c r="A137" s="1"/>
      <c r="B137" s="6"/>
      <c r="C137" s="7"/>
      <c r="D137" s="7"/>
      <c r="E137" s="7"/>
      <c r="F137" s="8" t="s">
        <v>0</v>
      </c>
      <c r="G137" s="8"/>
      <c r="H137" s="8"/>
      <c r="I137" s="9"/>
      <c r="J137" s="10" t="s">
        <v>1</v>
      </c>
      <c r="K137" s="11"/>
      <c r="L137" s="12"/>
      <c r="M137" s="13"/>
      <c r="N137" s="14" t="s">
        <v>2</v>
      </c>
      <c r="O137" s="15"/>
      <c r="P137" s="102"/>
    </row>
    <row r="138" spans="1:16" x14ac:dyDescent="0.25">
      <c r="A138" s="1"/>
      <c r="B138" s="6"/>
      <c r="C138" s="7"/>
      <c r="D138" s="7"/>
      <c r="E138" s="103" t="s">
        <v>48</v>
      </c>
      <c r="F138" s="103"/>
      <c r="G138" s="103"/>
      <c r="H138" s="103"/>
      <c r="I138" s="104"/>
      <c r="J138" s="105">
        <v>610</v>
      </c>
      <c r="K138" s="106"/>
      <c r="L138" s="107"/>
      <c r="M138" s="13"/>
      <c r="N138" s="108" t="s">
        <v>49</v>
      </c>
      <c r="O138" s="109"/>
      <c r="P138" s="102"/>
    </row>
    <row r="139" spans="1:16" ht="18" x14ac:dyDescent="0.25">
      <c r="A139" s="1"/>
      <c r="B139" s="6"/>
      <c r="C139" s="7"/>
      <c r="D139" s="7"/>
      <c r="E139" s="7"/>
      <c r="F139" s="21" t="s">
        <v>5</v>
      </c>
      <c r="G139" s="21"/>
      <c r="H139" s="21"/>
      <c r="I139" s="21"/>
      <c r="J139" s="7"/>
      <c r="K139" s="7"/>
      <c r="L139" s="7"/>
      <c r="M139" s="7"/>
      <c r="N139" s="7"/>
      <c r="O139" s="7"/>
      <c r="P139" s="102"/>
    </row>
    <row r="140" spans="1:16" x14ac:dyDescent="0.25">
      <c r="A140" s="1"/>
      <c r="B140" s="6"/>
      <c r="C140" s="7"/>
      <c r="D140" s="7"/>
      <c r="E140" s="7"/>
      <c r="F140" s="23" t="s">
        <v>6</v>
      </c>
      <c r="G140" s="23"/>
      <c r="H140" s="23"/>
      <c r="I140" s="110"/>
      <c r="J140" s="111" t="s">
        <v>7</v>
      </c>
      <c r="K140" s="112"/>
      <c r="L140" s="113"/>
      <c r="M140" s="7"/>
      <c r="N140" s="14" t="s">
        <v>8</v>
      </c>
      <c r="O140" s="15"/>
      <c r="P140" s="102"/>
    </row>
    <row r="141" spans="1:16" x14ac:dyDescent="0.25">
      <c r="A141" s="1"/>
      <c r="B141" s="6"/>
      <c r="C141" s="28" t="s">
        <v>9</v>
      </c>
      <c r="D141" s="7"/>
      <c r="E141" s="7"/>
      <c r="F141" s="7"/>
      <c r="G141" s="7"/>
      <c r="H141" s="7"/>
      <c r="I141" s="7"/>
      <c r="J141" s="114">
        <v>44749</v>
      </c>
      <c r="K141" s="30"/>
      <c r="L141" s="31"/>
      <c r="M141" s="7"/>
      <c r="N141" s="32" t="s">
        <v>10</v>
      </c>
      <c r="O141" s="109"/>
      <c r="P141" s="102"/>
    </row>
    <row r="142" spans="1:16" x14ac:dyDescent="0.25">
      <c r="A142" s="1"/>
      <c r="B142" s="6"/>
      <c r="C142" s="28" t="s">
        <v>11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102"/>
    </row>
    <row r="143" spans="1:16" x14ac:dyDescent="0.25">
      <c r="A143" s="1"/>
      <c r="B143" s="6"/>
      <c r="C143" s="34" t="s">
        <v>12</v>
      </c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102"/>
    </row>
    <row r="144" spans="1:16" x14ac:dyDescent="0.25">
      <c r="A144" s="1"/>
      <c r="B144" s="6"/>
      <c r="C144" s="19" t="s">
        <v>50</v>
      </c>
      <c r="D144" s="115"/>
      <c r="E144" s="115"/>
      <c r="F144" s="115"/>
      <c r="G144" s="115"/>
      <c r="H144" s="115"/>
      <c r="I144" s="20"/>
      <c r="J144" s="7"/>
      <c r="K144" s="14" t="s">
        <v>14</v>
      </c>
      <c r="L144" s="38"/>
      <c r="M144" s="38"/>
      <c r="N144" s="38"/>
      <c r="O144" s="15"/>
      <c r="P144" s="102"/>
    </row>
    <row r="145" spans="1:16" x14ac:dyDescent="0.25">
      <c r="A145" s="1"/>
      <c r="B145" s="39"/>
      <c r="C145" s="116" t="s">
        <v>15</v>
      </c>
      <c r="D145" s="117"/>
      <c r="E145" s="118"/>
      <c r="F145" s="116" t="s">
        <v>16</v>
      </c>
      <c r="G145" s="118"/>
      <c r="H145" s="116" t="s">
        <v>17</v>
      </c>
      <c r="I145" s="118"/>
      <c r="J145" s="7"/>
      <c r="K145" s="119">
        <v>19107010440029</v>
      </c>
      <c r="L145" s="120"/>
      <c r="M145" s="120"/>
      <c r="N145" s="120"/>
      <c r="O145" s="121"/>
      <c r="P145" s="102"/>
    </row>
    <row r="146" spans="1:16" x14ac:dyDescent="0.25">
      <c r="B146" s="6"/>
      <c r="C146" s="7"/>
      <c r="D146" s="7"/>
      <c r="E146" s="7"/>
      <c r="F146" s="7"/>
      <c r="G146" s="7"/>
      <c r="H146" s="7"/>
      <c r="I146" s="7"/>
      <c r="J146" s="7"/>
      <c r="K146" s="51"/>
      <c r="L146" s="7"/>
      <c r="M146" s="7"/>
      <c r="N146" s="7"/>
      <c r="O146" s="7"/>
      <c r="P146" s="102"/>
    </row>
    <row r="147" spans="1:16" x14ac:dyDescent="0.25">
      <c r="B147" s="6"/>
      <c r="C147" s="3"/>
      <c r="D147" s="4"/>
      <c r="E147" s="4"/>
      <c r="F147" s="4"/>
      <c r="G147" s="4"/>
      <c r="H147" s="4"/>
      <c r="I147" s="4"/>
      <c r="J147" s="5"/>
      <c r="K147" s="7"/>
      <c r="L147" s="3"/>
      <c r="M147" s="4"/>
      <c r="N147" s="4"/>
      <c r="O147" s="5"/>
      <c r="P147" s="102"/>
    </row>
    <row r="148" spans="1:16" x14ac:dyDescent="0.25">
      <c r="A148" s="1"/>
      <c r="B148" s="6"/>
      <c r="C148" s="88"/>
      <c r="D148" s="89"/>
      <c r="E148" s="89"/>
      <c r="F148" s="45" t="s">
        <v>51</v>
      </c>
      <c r="G148" s="45"/>
      <c r="H148" s="89"/>
      <c r="I148" s="89"/>
      <c r="J148" s="90"/>
      <c r="K148" s="7"/>
      <c r="L148" s="44" t="s">
        <v>52</v>
      </c>
      <c r="M148" s="122"/>
      <c r="N148" s="123" t="s">
        <v>53</v>
      </c>
      <c r="O148" s="48" t="s">
        <v>45</v>
      </c>
      <c r="P148" s="102"/>
    </row>
    <row r="149" spans="1:16" x14ac:dyDescent="0.25">
      <c r="A149" s="1"/>
      <c r="B149" s="6"/>
      <c r="C149" s="116" t="s">
        <v>21</v>
      </c>
      <c r="D149" s="117"/>
      <c r="E149" s="117"/>
      <c r="F149" s="117"/>
      <c r="G149" s="117"/>
      <c r="H149" s="117"/>
      <c r="I149" s="117"/>
      <c r="J149" s="118"/>
      <c r="K149" s="7"/>
      <c r="L149" s="116" t="s">
        <v>22</v>
      </c>
      <c r="M149" s="117"/>
      <c r="N149" s="49" t="s">
        <v>23</v>
      </c>
      <c r="O149" s="50" t="s">
        <v>24</v>
      </c>
      <c r="P149" s="102"/>
    </row>
    <row r="150" spans="1:16" x14ac:dyDescent="0.25">
      <c r="A150" s="1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102"/>
    </row>
    <row r="151" spans="1:16" x14ac:dyDescent="0.25">
      <c r="A151" s="1"/>
      <c r="B151" s="6"/>
      <c r="C151" s="52" t="s">
        <v>26</v>
      </c>
      <c r="D151" s="53"/>
      <c r="E151" s="54">
        <f>N157</f>
        <v>150</v>
      </c>
      <c r="F151" s="124" t="s">
        <v>54</v>
      </c>
      <c r="G151" s="125"/>
      <c r="H151" s="125"/>
      <c r="I151" s="125"/>
      <c r="J151" s="125"/>
      <c r="K151" s="125"/>
      <c r="L151" s="125"/>
      <c r="M151" s="125"/>
      <c r="N151" s="125"/>
      <c r="O151" s="126"/>
      <c r="P151" s="102"/>
    </row>
    <row r="152" spans="1:16" x14ac:dyDescent="0.25">
      <c r="A152" s="1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102"/>
    </row>
    <row r="153" spans="1:16" x14ac:dyDescent="0.25">
      <c r="A153" s="1"/>
      <c r="B153" s="6"/>
      <c r="C153" s="7"/>
      <c r="D153" s="58" t="s">
        <v>28</v>
      </c>
      <c r="E153" s="58" t="s">
        <v>29</v>
      </c>
      <c r="F153" s="59" t="s">
        <v>30</v>
      </c>
      <c r="G153" s="59"/>
      <c r="H153" s="59"/>
      <c r="I153" s="59"/>
      <c r="J153" s="59" t="s">
        <v>31</v>
      </c>
      <c r="K153" s="59"/>
      <c r="L153" s="59"/>
      <c r="M153" s="60"/>
      <c r="N153" s="59" t="s">
        <v>32</v>
      </c>
      <c r="O153" s="59"/>
      <c r="P153" s="102"/>
    </row>
    <row r="154" spans="1:16" x14ac:dyDescent="0.25">
      <c r="A154" s="1"/>
      <c r="B154" s="6"/>
      <c r="C154" s="7"/>
      <c r="D154" s="61">
        <v>1</v>
      </c>
      <c r="E154" s="61" t="s">
        <v>33</v>
      </c>
      <c r="F154" s="62" t="s">
        <v>34</v>
      </c>
      <c r="G154" s="63"/>
      <c r="H154" s="63"/>
      <c r="I154" s="64"/>
      <c r="J154" s="65">
        <v>150</v>
      </c>
      <c r="K154" s="66"/>
      <c r="L154" s="67"/>
      <c r="M154" s="68"/>
      <c r="N154" s="69">
        <f>+D154*J154</f>
        <v>150</v>
      </c>
      <c r="O154" s="70"/>
      <c r="P154" s="102"/>
    </row>
    <row r="155" spans="1:16" x14ac:dyDescent="0.25">
      <c r="A155" s="1"/>
      <c r="B155" s="6"/>
      <c r="C155" s="7"/>
      <c r="D155" s="71"/>
      <c r="E155" s="71"/>
      <c r="F155" s="72" t="s">
        <v>35</v>
      </c>
      <c r="G155" s="73"/>
      <c r="H155" s="73"/>
      <c r="I155" s="74"/>
      <c r="J155" s="75"/>
      <c r="K155" s="76"/>
      <c r="L155" s="77"/>
      <c r="M155" s="78"/>
      <c r="N155" s="79">
        <f>+D155*J155</f>
        <v>0</v>
      </c>
      <c r="O155" s="80"/>
      <c r="P155" s="102"/>
    </row>
    <row r="156" spans="1:16" x14ac:dyDescent="0.25">
      <c r="A156" s="1"/>
      <c r="B156" s="6"/>
      <c r="C156" s="7"/>
      <c r="D156" s="71"/>
      <c r="E156" s="71"/>
      <c r="F156" s="72" t="s">
        <v>55</v>
      </c>
      <c r="G156" s="73"/>
      <c r="H156" s="73"/>
      <c r="I156" s="74"/>
      <c r="J156" s="75"/>
      <c r="K156" s="76"/>
      <c r="L156" s="77"/>
      <c r="M156" s="78"/>
      <c r="N156" s="79">
        <f>+D156*J156</f>
        <v>0</v>
      </c>
      <c r="O156" s="80"/>
      <c r="P156" s="102"/>
    </row>
    <row r="157" spans="1:16" x14ac:dyDescent="0.25">
      <c r="A157" s="1"/>
      <c r="B157" s="6"/>
      <c r="C157" s="7"/>
      <c r="D157" s="81"/>
      <c r="E157" s="81"/>
      <c r="F157" s="78"/>
      <c r="G157" s="78"/>
      <c r="H157" s="78"/>
      <c r="I157" s="78"/>
      <c r="J157" s="82"/>
      <c r="K157" s="83" t="s">
        <v>36</v>
      </c>
      <c r="L157" s="82"/>
      <c r="M157" s="78"/>
      <c r="N157" s="84">
        <f>SUM(N154:O156)</f>
        <v>150</v>
      </c>
      <c r="O157" s="84"/>
      <c r="P157" s="102"/>
    </row>
    <row r="158" spans="1:16" x14ac:dyDescent="0.25">
      <c r="A158" s="1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102"/>
    </row>
    <row r="159" spans="1:16" x14ac:dyDescent="0.25">
      <c r="A159" s="1"/>
      <c r="B159" s="6"/>
      <c r="C159" s="7"/>
      <c r="D159" s="85" t="s">
        <v>37</v>
      </c>
      <c r="E159" s="86"/>
      <c r="F159" s="87"/>
      <c r="G159" s="85" t="s">
        <v>38</v>
      </c>
      <c r="H159" s="86"/>
      <c r="I159" s="87"/>
      <c r="J159" s="7"/>
      <c r="K159" s="7"/>
      <c r="L159" s="7"/>
      <c r="M159" s="7"/>
      <c r="N159" s="7"/>
      <c r="O159" s="7"/>
      <c r="P159" s="102"/>
    </row>
    <row r="160" spans="1:16" x14ac:dyDescent="0.25">
      <c r="A160" s="1"/>
      <c r="B160" s="6"/>
      <c r="C160" s="7"/>
      <c r="D160" s="6"/>
      <c r="E160" s="7"/>
      <c r="F160" s="16"/>
      <c r="G160" s="6"/>
      <c r="H160" s="7"/>
      <c r="I160" s="16"/>
      <c r="J160" s="7"/>
      <c r="K160" s="7"/>
      <c r="L160" s="7"/>
      <c r="M160" s="7"/>
      <c r="N160" s="7"/>
      <c r="O160" s="7"/>
      <c r="P160" s="102"/>
    </row>
    <row r="161" spans="1:16" x14ac:dyDescent="0.25">
      <c r="A161" s="1"/>
      <c r="B161" s="6"/>
      <c r="C161" s="7"/>
      <c r="D161" s="88"/>
      <c r="E161" s="89"/>
      <c r="F161" s="90"/>
      <c r="G161" s="6"/>
      <c r="H161" s="7"/>
      <c r="I161" s="16"/>
      <c r="J161" s="7"/>
      <c r="K161" s="7"/>
      <c r="L161" s="7"/>
      <c r="M161" s="7"/>
      <c r="N161" s="7"/>
      <c r="O161" s="7"/>
      <c r="P161" s="102"/>
    </row>
    <row r="162" spans="1:16" x14ac:dyDescent="0.25">
      <c r="A162" s="1"/>
      <c r="B162" s="6"/>
      <c r="C162" s="7"/>
      <c r="D162" s="3"/>
      <c r="E162" s="4"/>
      <c r="F162" s="5"/>
      <c r="G162" s="6"/>
      <c r="H162" s="7"/>
      <c r="I162" s="16"/>
      <c r="J162" s="7"/>
      <c r="K162" s="7"/>
      <c r="L162" s="7"/>
      <c r="M162" s="7"/>
      <c r="N162" s="7"/>
      <c r="O162" s="7"/>
      <c r="P162" s="102"/>
    </row>
    <row r="163" spans="1:16" x14ac:dyDescent="0.25">
      <c r="A163" s="1"/>
      <c r="B163" s="6"/>
      <c r="C163" s="7"/>
      <c r="D163" s="91" t="s">
        <v>56</v>
      </c>
      <c r="E163" s="92"/>
      <c r="F163" s="93"/>
      <c r="G163" s="6"/>
      <c r="H163" s="7"/>
      <c r="I163" s="16"/>
      <c r="J163" s="7"/>
      <c r="K163" s="7"/>
      <c r="L163" s="7"/>
      <c r="M163" s="7"/>
      <c r="N163" s="7"/>
      <c r="O163" s="7"/>
      <c r="P163" s="102"/>
    </row>
    <row r="164" spans="1:16" x14ac:dyDescent="0.25">
      <c r="A164" s="1"/>
      <c r="B164" s="6"/>
      <c r="C164" s="7"/>
      <c r="D164" s="88"/>
      <c r="E164" s="89"/>
      <c r="F164" s="90"/>
      <c r="G164" s="88"/>
      <c r="H164" s="89"/>
      <c r="I164" s="90"/>
      <c r="J164" s="7"/>
      <c r="K164" s="7"/>
      <c r="L164" s="7"/>
      <c r="M164" s="7"/>
      <c r="N164" s="7"/>
      <c r="O164" s="7"/>
      <c r="P164" s="102"/>
    </row>
    <row r="165" spans="1:16" x14ac:dyDescent="0.25">
      <c r="A165" s="1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102"/>
    </row>
    <row r="166" spans="1:16" x14ac:dyDescent="0.25">
      <c r="A166" s="1"/>
      <c r="B166" s="88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127"/>
    </row>
    <row r="167" spans="1:16" x14ac:dyDescent="0.25">
      <c r="A167" s="1"/>
    </row>
    <row r="168" spans="1:16" x14ac:dyDescent="0.25">
      <c r="A168" s="1"/>
    </row>
    <row r="169" spans="1:16" x14ac:dyDescent="0.25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101"/>
    </row>
    <row r="170" spans="1:16" x14ac:dyDescent="0.25">
      <c r="A170" s="1"/>
      <c r="B170" s="6"/>
      <c r="C170" s="7"/>
      <c r="D170" s="7"/>
      <c r="E170" s="7"/>
      <c r="F170" s="8" t="s">
        <v>0</v>
      </c>
      <c r="G170" s="8"/>
      <c r="H170" s="8"/>
      <c r="I170" s="9"/>
      <c r="J170" s="10" t="s">
        <v>1</v>
      </c>
      <c r="K170" s="11"/>
      <c r="L170" s="12"/>
      <c r="M170" s="13"/>
      <c r="N170" s="14" t="s">
        <v>2</v>
      </c>
      <c r="O170" s="15"/>
      <c r="P170" s="102"/>
    </row>
    <row r="171" spans="1:16" x14ac:dyDescent="0.25">
      <c r="A171" s="1"/>
      <c r="B171" s="6"/>
      <c r="C171" s="7"/>
      <c r="D171" s="7"/>
      <c r="E171" s="103" t="s">
        <v>48</v>
      </c>
      <c r="F171" s="103"/>
      <c r="G171" s="103"/>
      <c r="H171" s="103"/>
      <c r="I171" s="104"/>
      <c r="J171" s="105">
        <v>610</v>
      </c>
      <c r="K171" s="106"/>
      <c r="L171" s="107"/>
      <c r="M171" s="13"/>
      <c r="N171" s="128" t="s">
        <v>57</v>
      </c>
      <c r="O171" s="129"/>
      <c r="P171" s="102"/>
    </row>
    <row r="172" spans="1:16" ht="18" x14ac:dyDescent="0.25">
      <c r="A172" s="1"/>
      <c r="B172" s="6"/>
      <c r="C172" s="7"/>
      <c r="D172" s="7"/>
      <c r="E172" s="7"/>
      <c r="F172" s="21" t="s">
        <v>5</v>
      </c>
      <c r="G172" s="21"/>
      <c r="H172" s="21"/>
      <c r="I172" s="21"/>
      <c r="J172" s="7"/>
      <c r="K172" s="7"/>
      <c r="L172" s="7"/>
      <c r="M172" s="7"/>
      <c r="N172" s="7"/>
      <c r="O172" s="7"/>
      <c r="P172" s="102"/>
    </row>
    <row r="173" spans="1:16" x14ac:dyDescent="0.25">
      <c r="A173" s="1"/>
      <c r="B173" s="6"/>
      <c r="C173" s="7"/>
      <c r="D173" s="7"/>
      <c r="E173" s="7"/>
      <c r="F173" s="23" t="s">
        <v>6</v>
      </c>
      <c r="G173" s="23"/>
      <c r="H173" s="23"/>
      <c r="I173" s="110"/>
      <c r="J173" s="111" t="s">
        <v>7</v>
      </c>
      <c r="K173" s="112"/>
      <c r="L173" s="113"/>
      <c r="M173" s="7"/>
      <c r="N173" s="14" t="s">
        <v>8</v>
      </c>
      <c r="O173" s="15"/>
      <c r="P173" s="102"/>
    </row>
    <row r="174" spans="1:16" x14ac:dyDescent="0.25">
      <c r="A174" s="1"/>
      <c r="B174" s="6"/>
      <c r="C174" s="28" t="s">
        <v>9</v>
      </c>
      <c r="D174" s="7"/>
      <c r="E174" s="7"/>
      <c r="F174" s="7"/>
      <c r="G174" s="7"/>
      <c r="H174" s="7"/>
      <c r="I174" s="7"/>
      <c r="J174" s="114">
        <v>44749</v>
      </c>
      <c r="K174" s="30"/>
      <c r="L174" s="31"/>
      <c r="M174" s="7"/>
      <c r="N174" s="32" t="s">
        <v>10</v>
      </c>
      <c r="O174" s="109"/>
      <c r="P174" s="102"/>
    </row>
    <row r="175" spans="1:16" x14ac:dyDescent="0.25">
      <c r="A175" s="1"/>
      <c r="B175" s="6"/>
      <c r="C175" s="28" t="s">
        <v>11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102"/>
    </row>
    <row r="176" spans="1:16" x14ac:dyDescent="0.25">
      <c r="A176" s="1"/>
      <c r="B176" s="6"/>
      <c r="C176" s="34" t="s">
        <v>12</v>
      </c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102"/>
    </row>
    <row r="177" spans="1:17" x14ac:dyDescent="0.25">
      <c r="A177" s="1"/>
      <c r="B177" s="6"/>
      <c r="C177" s="19"/>
      <c r="D177" s="115"/>
      <c r="E177" s="115"/>
      <c r="F177" s="115"/>
      <c r="G177" s="115"/>
      <c r="H177" s="115"/>
      <c r="I177" s="20"/>
      <c r="J177" s="7"/>
      <c r="K177" s="14" t="s">
        <v>14</v>
      </c>
      <c r="L177" s="38"/>
      <c r="M177" s="38"/>
      <c r="N177" s="38"/>
      <c r="O177" s="15"/>
      <c r="P177" s="102"/>
    </row>
    <row r="178" spans="1:17" x14ac:dyDescent="0.25">
      <c r="A178" s="1"/>
      <c r="B178" s="39"/>
      <c r="C178" s="116" t="s">
        <v>15</v>
      </c>
      <c r="D178" s="117"/>
      <c r="E178" s="118"/>
      <c r="F178" s="116" t="s">
        <v>16</v>
      </c>
      <c r="G178" s="118"/>
      <c r="H178" s="116" t="s">
        <v>17</v>
      </c>
      <c r="I178" s="118"/>
      <c r="J178" s="7"/>
      <c r="K178" s="119">
        <v>19107010440180</v>
      </c>
      <c r="L178" s="120"/>
      <c r="M178" s="120"/>
      <c r="N178" s="120"/>
      <c r="O178" s="121"/>
      <c r="P178" s="102"/>
    </row>
    <row r="179" spans="1:17" x14ac:dyDescent="0.25">
      <c r="A179" s="1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102"/>
    </row>
    <row r="180" spans="1:17" x14ac:dyDescent="0.25">
      <c r="A180" s="1"/>
      <c r="B180" s="6"/>
      <c r="C180" s="3"/>
      <c r="D180" s="4"/>
      <c r="E180" s="4"/>
      <c r="F180" s="4"/>
      <c r="G180" s="4"/>
      <c r="H180" s="4"/>
      <c r="I180" s="4"/>
      <c r="J180" s="5"/>
      <c r="K180" s="7"/>
      <c r="L180" s="3"/>
      <c r="M180" s="4"/>
      <c r="N180" s="4"/>
      <c r="O180" s="5"/>
      <c r="P180" s="102"/>
    </row>
    <row r="181" spans="1:17" x14ac:dyDescent="0.25">
      <c r="A181" s="1"/>
      <c r="B181" s="6"/>
      <c r="C181" s="88"/>
      <c r="D181" s="89"/>
      <c r="E181" s="89"/>
      <c r="F181" s="45" t="s">
        <v>51</v>
      </c>
      <c r="G181" s="45"/>
      <c r="H181" s="89"/>
      <c r="I181" s="89"/>
      <c r="J181" s="90"/>
      <c r="K181" s="7"/>
      <c r="L181" s="44" t="s">
        <v>58</v>
      </c>
      <c r="M181" s="122"/>
      <c r="N181" s="123" t="s">
        <v>59</v>
      </c>
      <c r="O181" s="48" t="s">
        <v>45</v>
      </c>
      <c r="P181" s="102"/>
    </row>
    <row r="182" spans="1:17" x14ac:dyDescent="0.25">
      <c r="A182" s="1"/>
      <c r="B182" s="6"/>
      <c r="C182" s="116" t="s">
        <v>21</v>
      </c>
      <c r="D182" s="117"/>
      <c r="E182" s="117"/>
      <c r="F182" s="117"/>
      <c r="G182" s="117"/>
      <c r="H182" s="117"/>
      <c r="I182" s="117"/>
      <c r="J182" s="118"/>
      <c r="K182" s="7"/>
      <c r="L182" s="116" t="s">
        <v>22</v>
      </c>
      <c r="M182" s="117"/>
      <c r="N182" s="49" t="s">
        <v>23</v>
      </c>
      <c r="O182" s="50" t="s">
        <v>24</v>
      </c>
      <c r="P182" s="102"/>
    </row>
    <row r="183" spans="1:17" x14ac:dyDescent="0.25">
      <c r="A183" s="1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102"/>
    </row>
    <row r="184" spans="1:17" x14ac:dyDescent="0.25">
      <c r="A184" s="1"/>
      <c r="B184" s="6"/>
      <c r="C184" s="52" t="s">
        <v>26</v>
      </c>
      <c r="D184" s="53"/>
      <c r="E184" s="54">
        <v>150</v>
      </c>
      <c r="F184" s="55" t="s">
        <v>60</v>
      </c>
      <c r="G184" s="56"/>
      <c r="H184" s="56"/>
      <c r="I184" s="56"/>
      <c r="J184" s="56"/>
      <c r="K184" s="56"/>
      <c r="L184" s="56"/>
      <c r="M184" s="56"/>
      <c r="N184" s="56"/>
      <c r="O184" s="57"/>
      <c r="P184" s="102"/>
    </row>
    <row r="185" spans="1:17" x14ac:dyDescent="0.25">
      <c r="A185" s="1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102"/>
      <c r="Q185" s="130"/>
    </row>
    <row r="186" spans="1:17" x14ac:dyDescent="0.25">
      <c r="A186" s="1"/>
      <c r="B186" s="6"/>
      <c r="C186" s="7"/>
      <c r="D186" s="58" t="s">
        <v>28</v>
      </c>
      <c r="E186" s="58" t="s">
        <v>29</v>
      </c>
      <c r="F186" s="59" t="s">
        <v>30</v>
      </c>
      <c r="G186" s="59"/>
      <c r="H186" s="59"/>
      <c r="I186" s="59"/>
      <c r="J186" s="59" t="s">
        <v>31</v>
      </c>
      <c r="K186" s="59"/>
      <c r="L186" s="59"/>
      <c r="M186" s="60"/>
      <c r="N186" s="59" t="s">
        <v>32</v>
      </c>
      <c r="O186" s="59"/>
      <c r="P186" s="102"/>
    </row>
    <row r="187" spans="1:17" x14ac:dyDescent="0.25">
      <c r="A187" s="1"/>
      <c r="B187" s="6"/>
      <c r="C187" s="7"/>
      <c r="D187" s="61">
        <v>1</v>
      </c>
      <c r="E187" s="61" t="s">
        <v>33</v>
      </c>
      <c r="F187" s="62" t="s">
        <v>34</v>
      </c>
      <c r="G187" s="63"/>
      <c r="H187" s="63"/>
      <c r="I187" s="64"/>
      <c r="J187" s="65">
        <v>150</v>
      </c>
      <c r="K187" s="66"/>
      <c r="L187" s="67"/>
      <c r="M187" s="68"/>
      <c r="N187" s="69">
        <f>+D187*J187</f>
        <v>150</v>
      </c>
      <c r="O187" s="70"/>
      <c r="P187" s="102"/>
    </row>
    <row r="188" spans="1:17" x14ac:dyDescent="0.25">
      <c r="A188" s="1"/>
      <c r="B188" s="6"/>
      <c r="C188" s="7"/>
      <c r="D188" s="71"/>
      <c r="E188" s="71"/>
      <c r="F188" s="72" t="s">
        <v>61</v>
      </c>
      <c r="G188" s="73"/>
      <c r="H188" s="73"/>
      <c r="I188" s="74"/>
      <c r="J188" s="75"/>
      <c r="K188" s="76"/>
      <c r="L188" s="77"/>
      <c r="M188" s="78"/>
      <c r="N188" s="79">
        <f>+D188*J188</f>
        <v>0</v>
      </c>
      <c r="O188" s="80"/>
      <c r="P188" s="102"/>
    </row>
    <row r="189" spans="1:17" x14ac:dyDescent="0.25">
      <c r="A189" s="1"/>
      <c r="B189" s="6"/>
      <c r="C189" s="7"/>
      <c r="D189" s="71"/>
      <c r="E189" s="71"/>
      <c r="F189" s="131" t="s">
        <v>62</v>
      </c>
      <c r="G189" s="73"/>
      <c r="H189" s="73"/>
      <c r="I189" s="74"/>
      <c r="J189" s="75"/>
      <c r="K189" s="76"/>
      <c r="L189" s="77"/>
      <c r="M189" s="78"/>
      <c r="N189" s="79">
        <f>+D189*J189</f>
        <v>0</v>
      </c>
      <c r="O189" s="80"/>
      <c r="P189" s="102"/>
    </row>
    <row r="190" spans="1:17" x14ac:dyDescent="0.25">
      <c r="A190" s="1"/>
      <c r="B190" s="6"/>
      <c r="C190" s="7"/>
      <c r="D190" s="81"/>
      <c r="E190" s="81"/>
      <c r="F190" s="78"/>
      <c r="G190" s="78"/>
      <c r="H190" s="78"/>
      <c r="I190" s="78"/>
      <c r="J190" s="82"/>
      <c r="K190" s="83" t="s">
        <v>36</v>
      </c>
      <c r="L190" s="82"/>
      <c r="M190" s="78"/>
      <c r="N190" s="84">
        <f>SUM(N187:O189)</f>
        <v>150</v>
      </c>
      <c r="O190" s="84"/>
      <c r="P190" s="102"/>
    </row>
    <row r="191" spans="1:17" x14ac:dyDescent="0.25">
      <c r="A191" s="1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102"/>
    </row>
    <row r="192" spans="1:17" x14ac:dyDescent="0.25">
      <c r="A192" s="1"/>
      <c r="B192" s="6"/>
      <c r="C192" s="7"/>
      <c r="D192" s="85" t="s">
        <v>37</v>
      </c>
      <c r="E192" s="86"/>
      <c r="F192" s="87"/>
      <c r="G192" s="85" t="s">
        <v>38</v>
      </c>
      <c r="H192" s="86"/>
      <c r="I192" s="87"/>
      <c r="J192" s="7"/>
      <c r="K192" s="7"/>
      <c r="L192" s="7"/>
      <c r="M192" s="7"/>
      <c r="N192" s="7"/>
      <c r="O192" s="7"/>
      <c r="P192" s="102"/>
    </row>
    <row r="193" spans="1:17" x14ac:dyDescent="0.25">
      <c r="A193" s="1"/>
      <c r="B193" s="6"/>
      <c r="C193" s="7"/>
      <c r="D193" s="6"/>
      <c r="E193" s="7"/>
      <c r="F193" s="16"/>
      <c r="G193" s="6"/>
      <c r="H193" s="7"/>
      <c r="I193" s="16"/>
      <c r="J193" s="7"/>
      <c r="K193" s="7"/>
      <c r="L193" s="7"/>
      <c r="M193" s="7"/>
      <c r="N193" s="7"/>
      <c r="O193" s="7"/>
      <c r="P193" s="102"/>
    </row>
    <row r="194" spans="1:17" x14ac:dyDescent="0.25">
      <c r="A194" s="1"/>
      <c r="B194" s="6"/>
      <c r="C194" s="7"/>
      <c r="D194" s="88"/>
      <c r="E194" s="89"/>
      <c r="F194" s="90"/>
      <c r="G194" s="6"/>
      <c r="H194" s="7"/>
      <c r="I194" s="16"/>
      <c r="J194" s="7"/>
      <c r="K194" s="7"/>
      <c r="L194" s="7"/>
      <c r="M194" s="7"/>
      <c r="N194" s="7"/>
      <c r="O194" s="7"/>
      <c r="P194" s="102"/>
    </row>
    <row r="195" spans="1:17" x14ac:dyDescent="0.25">
      <c r="A195" s="1"/>
      <c r="B195" s="6"/>
      <c r="C195" s="7"/>
      <c r="D195" s="3"/>
      <c r="E195" s="4"/>
      <c r="F195" s="5"/>
      <c r="G195" s="6"/>
      <c r="H195" s="7"/>
      <c r="I195" s="16"/>
      <c r="J195" s="7"/>
      <c r="K195" s="7"/>
      <c r="L195" s="7"/>
      <c r="M195" s="7"/>
      <c r="N195" s="7"/>
      <c r="O195" s="7"/>
      <c r="P195" s="102"/>
    </row>
    <row r="196" spans="1:17" x14ac:dyDescent="0.25">
      <c r="A196" s="1"/>
      <c r="B196" s="6"/>
      <c r="C196" s="7"/>
      <c r="D196" s="91" t="s">
        <v>56</v>
      </c>
      <c r="E196" s="92"/>
      <c r="F196" s="93"/>
      <c r="G196" s="6"/>
      <c r="H196" s="7"/>
      <c r="I196" s="16"/>
      <c r="J196" s="7"/>
      <c r="K196" s="7"/>
      <c r="L196" s="7"/>
      <c r="M196" s="7"/>
      <c r="N196" s="7"/>
      <c r="O196" s="7"/>
      <c r="P196" s="102"/>
    </row>
    <row r="197" spans="1:17" x14ac:dyDescent="0.25">
      <c r="A197" s="1"/>
      <c r="B197" s="6"/>
      <c r="C197" s="7"/>
      <c r="D197" s="88"/>
      <c r="E197" s="89"/>
      <c r="F197" s="90"/>
      <c r="G197" s="88"/>
      <c r="H197" s="89"/>
      <c r="I197" s="90"/>
      <c r="J197" s="7"/>
      <c r="K197" s="7"/>
      <c r="L197" s="7"/>
      <c r="M197" s="7"/>
      <c r="N197" s="7"/>
      <c r="O197" s="7"/>
      <c r="P197" s="102"/>
    </row>
    <row r="198" spans="1:17" x14ac:dyDescent="0.25">
      <c r="A198" s="1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102"/>
    </row>
    <row r="199" spans="1:17" x14ac:dyDescent="0.25">
      <c r="A199" s="1"/>
      <c r="B199" s="88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127"/>
      <c r="Q199" s="2" t="s">
        <v>63</v>
      </c>
    </row>
    <row r="200" spans="1:17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7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7" x14ac:dyDescent="0.25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101"/>
    </row>
    <row r="203" spans="1:17" x14ac:dyDescent="0.25">
      <c r="A203" s="1"/>
      <c r="B203" s="6"/>
      <c r="C203" s="7"/>
      <c r="D203" s="7"/>
      <c r="E203" s="7"/>
      <c r="F203" s="8" t="s">
        <v>0</v>
      </c>
      <c r="G203" s="8"/>
      <c r="H203" s="8"/>
      <c r="I203" s="9"/>
      <c r="J203" s="10" t="s">
        <v>1</v>
      </c>
      <c r="K203" s="11"/>
      <c r="L203" s="12"/>
      <c r="M203" s="13"/>
      <c r="N203" s="14" t="s">
        <v>2</v>
      </c>
      <c r="O203" s="15"/>
      <c r="P203" s="102"/>
    </row>
    <row r="204" spans="1:17" x14ac:dyDescent="0.25">
      <c r="A204" s="1"/>
      <c r="B204" s="6"/>
      <c r="C204" s="7"/>
      <c r="D204" s="7"/>
      <c r="E204" s="103" t="s">
        <v>48</v>
      </c>
      <c r="F204" s="103"/>
      <c r="G204" s="103"/>
      <c r="H204" s="103"/>
      <c r="I204" s="104"/>
      <c r="J204" s="105">
        <v>610</v>
      </c>
      <c r="K204" s="106"/>
      <c r="L204" s="107"/>
      <c r="M204" s="13"/>
      <c r="N204" s="128" t="s">
        <v>64</v>
      </c>
      <c r="O204" s="129"/>
      <c r="P204" s="102"/>
    </row>
    <row r="205" spans="1:17" ht="18" x14ac:dyDescent="0.25">
      <c r="A205" s="1"/>
      <c r="B205" s="6"/>
      <c r="C205" s="7"/>
      <c r="D205" s="7"/>
      <c r="E205" s="7"/>
      <c r="F205" s="21" t="s">
        <v>5</v>
      </c>
      <c r="G205" s="21"/>
      <c r="H205" s="21"/>
      <c r="I205" s="21"/>
      <c r="J205" s="7"/>
      <c r="K205" s="7"/>
      <c r="L205" s="7"/>
      <c r="M205" s="7"/>
      <c r="N205" s="7"/>
      <c r="O205" s="7"/>
      <c r="P205" s="102"/>
    </row>
    <row r="206" spans="1:17" x14ac:dyDescent="0.25">
      <c r="A206" s="1"/>
      <c r="B206" s="6"/>
      <c r="C206" s="7"/>
      <c r="D206" s="7"/>
      <c r="E206" s="7"/>
      <c r="F206" s="23" t="s">
        <v>18</v>
      </c>
      <c r="G206" s="23"/>
      <c r="H206" s="23"/>
      <c r="I206" s="110"/>
      <c r="J206" s="111" t="s">
        <v>7</v>
      </c>
      <c r="K206" s="112"/>
      <c r="L206" s="113"/>
      <c r="M206" s="7"/>
      <c r="N206" s="14" t="s">
        <v>8</v>
      </c>
      <c r="O206" s="15"/>
      <c r="P206" s="102"/>
    </row>
    <row r="207" spans="1:17" x14ac:dyDescent="0.25">
      <c r="A207" s="1"/>
      <c r="B207" s="6"/>
      <c r="C207" s="28" t="s">
        <v>9</v>
      </c>
      <c r="D207" s="7"/>
      <c r="E207" s="7"/>
      <c r="F207" s="7"/>
      <c r="G207" s="7"/>
      <c r="H207" s="7"/>
      <c r="I207" s="7"/>
      <c r="J207" s="114">
        <v>44749</v>
      </c>
      <c r="K207" s="30"/>
      <c r="L207" s="31"/>
      <c r="M207" s="7"/>
      <c r="N207" s="32" t="s">
        <v>10</v>
      </c>
      <c r="O207" s="109"/>
      <c r="P207" s="102"/>
    </row>
    <row r="208" spans="1:17" x14ac:dyDescent="0.25">
      <c r="A208" s="1"/>
      <c r="B208" s="6"/>
      <c r="C208" s="28" t="s">
        <v>11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102"/>
    </row>
    <row r="209" spans="1:16" x14ac:dyDescent="0.25">
      <c r="A209" s="1"/>
      <c r="B209" s="6"/>
      <c r="C209" s="34" t="s">
        <v>12</v>
      </c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102"/>
    </row>
    <row r="210" spans="1:16" x14ac:dyDescent="0.25">
      <c r="A210" s="1"/>
      <c r="B210" s="6"/>
      <c r="C210" s="19"/>
      <c r="D210" s="115"/>
      <c r="E210" s="115"/>
      <c r="F210" s="115"/>
      <c r="G210" s="115"/>
      <c r="H210" s="115"/>
      <c r="I210" s="20"/>
      <c r="J210" s="7"/>
      <c r="K210" s="14" t="s">
        <v>14</v>
      </c>
      <c r="L210" s="38"/>
      <c r="M210" s="38"/>
      <c r="N210" s="38"/>
      <c r="O210" s="15"/>
      <c r="P210" s="102"/>
    </row>
    <row r="211" spans="1:16" x14ac:dyDescent="0.25">
      <c r="A211" s="1"/>
      <c r="B211" s="39"/>
      <c r="C211" s="116" t="s">
        <v>15</v>
      </c>
      <c r="D211" s="117"/>
      <c r="E211" s="118"/>
      <c r="F211" s="116" t="s">
        <v>16</v>
      </c>
      <c r="G211" s="118"/>
      <c r="H211" s="116" t="s">
        <v>17</v>
      </c>
      <c r="I211" s="118"/>
      <c r="J211" s="7"/>
      <c r="K211" s="119">
        <v>19107010440174</v>
      </c>
      <c r="L211" s="120"/>
      <c r="M211" s="120"/>
      <c r="N211" s="120"/>
      <c r="O211" s="121"/>
      <c r="P211" s="102"/>
    </row>
    <row r="212" spans="1:16" x14ac:dyDescent="0.25">
      <c r="A212" s="1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102"/>
    </row>
    <row r="213" spans="1:16" x14ac:dyDescent="0.25">
      <c r="A213" s="1"/>
      <c r="B213" s="6"/>
      <c r="C213" s="3"/>
      <c r="D213" s="4"/>
      <c r="E213" s="4"/>
      <c r="F213" s="4"/>
      <c r="G213" s="4"/>
      <c r="H213" s="4"/>
      <c r="I213" s="4"/>
      <c r="J213" s="5"/>
      <c r="K213" s="7"/>
      <c r="L213" s="3"/>
      <c r="M213" s="4"/>
      <c r="N213" s="4"/>
      <c r="O213" s="5"/>
      <c r="P213" s="102"/>
    </row>
    <row r="214" spans="1:16" x14ac:dyDescent="0.25">
      <c r="A214" s="1"/>
      <c r="B214" s="6"/>
      <c r="C214" s="88"/>
      <c r="D214" s="89"/>
      <c r="E214" s="89"/>
      <c r="F214" s="45" t="s">
        <v>51</v>
      </c>
      <c r="G214" s="45"/>
      <c r="H214" s="89"/>
      <c r="I214" s="89"/>
      <c r="J214" s="90"/>
      <c r="K214" s="7"/>
      <c r="L214" s="44" t="s">
        <v>44</v>
      </c>
      <c r="M214" s="122"/>
      <c r="N214" s="123" t="s">
        <v>65</v>
      </c>
      <c r="O214" s="48" t="s">
        <v>45</v>
      </c>
      <c r="P214" s="102"/>
    </row>
    <row r="215" spans="1:16" x14ac:dyDescent="0.25">
      <c r="A215" s="1"/>
      <c r="B215" s="6"/>
      <c r="C215" s="116" t="s">
        <v>21</v>
      </c>
      <c r="D215" s="117"/>
      <c r="E215" s="117"/>
      <c r="F215" s="117"/>
      <c r="G215" s="117"/>
      <c r="H215" s="117"/>
      <c r="I215" s="117"/>
      <c r="J215" s="118"/>
      <c r="K215" s="7"/>
      <c r="L215" s="116" t="s">
        <v>22</v>
      </c>
      <c r="M215" s="117"/>
      <c r="N215" s="49" t="s">
        <v>23</v>
      </c>
      <c r="O215" s="50" t="s">
        <v>24</v>
      </c>
      <c r="P215" s="102"/>
    </row>
    <row r="216" spans="1:16" x14ac:dyDescent="0.25">
      <c r="A216" s="1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102"/>
    </row>
    <row r="217" spans="1:16" x14ac:dyDescent="0.25">
      <c r="A217" s="1"/>
      <c r="B217" s="6"/>
      <c r="C217" s="52" t="s">
        <v>26</v>
      </c>
      <c r="D217" s="53"/>
      <c r="E217" s="54">
        <v>150</v>
      </c>
      <c r="F217" s="55" t="s">
        <v>60</v>
      </c>
      <c r="G217" s="56"/>
      <c r="H217" s="56"/>
      <c r="I217" s="56"/>
      <c r="J217" s="56"/>
      <c r="K217" s="56"/>
      <c r="L217" s="56"/>
      <c r="M217" s="56"/>
      <c r="N217" s="56"/>
      <c r="O217" s="57"/>
      <c r="P217" s="102"/>
    </row>
    <row r="218" spans="1:16" x14ac:dyDescent="0.25">
      <c r="A218" s="1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102"/>
    </row>
    <row r="219" spans="1:16" x14ac:dyDescent="0.25">
      <c r="A219" s="1"/>
      <c r="B219" s="6"/>
      <c r="C219" s="7"/>
      <c r="D219" s="58" t="s">
        <v>28</v>
      </c>
      <c r="E219" s="58" t="s">
        <v>29</v>
      </c>
      <c r="F219" s="59" t="s">
        <v>30</v>
      </c>
      <c r="G219" s="59"/>
      <c r="H219" s="59"/>
      <c r="I219" s="59"/>
      <c r="J219" s="59" t="s">
        <v>31</v>
      </c>
      <c r="K219" s="59"/>
      <c r="L219" s="59"/>
      <c r="M219" s="60"/>
      <c r="N219" s="59" t="s">
        <v>32</v>
      </c>
      <c r="O219" s="59"/>
      <c r="P219" s="102"/>
    </row>
    <row r="220" spans="1:16" x14ac:dyDescent="0.25">
      <c r="A220" s="1"/>
      <c r="B220" s="6"/>
      <c r="C220" s="7"/>
      <c r="D220" s="61">
        <v>1</v>
      </c>
      <c r="E220" s="61" t="s">
        <v>33</v>
      </c>
      <c r="F220" s="62" t="s">
        <v>34</v>
      </c>
      <c r="G220" s="63"/>
      <c r="H220" s="63"/>
      <c r="I220" s="64"/>
      <c r="J220" s="65">
        <v>150</v>
      </c>
      <c r="K220" s="66"/>
      <c r="L220" s="67"/>
      <c r="M220" s="68"/>
      <c r="N220" s="69">
        <f>+D220*J220</f>
        <v>150</v>
      </c>
      <c r="O220" s="70"/>
      <c r="P220" s="102"/>
    </row>
    <row r="221" spans="1:16" x14ac:dyDescent="0.25">
      <c r="A221" s="1"/>
      <c r="B221" s="6"/>
      <c r="C221" s="7"/>
      <c r="D221" s="71"/>
      <c r="E221" s="71"/>
      <c r="F221" s="72" t="s">
        <v>35</v>
      </c>
      <c r="G221" s="73"/>
      <c r="H221" s="73"/>
      <c r="I221" s="74"/>
      <c r="J221" s="75"/>
      <c r="K221" s="76"/>
      <c r="L221" s="77"/>
      <c r="M221" s="78"/>
      <c r="N221" s="79">
        <f>+D221*J221</f>
        <v>0</v>
      </c>
      <c r="O221" s="80"/>
      <c r="P221" s="102"/>
    </row>
    <row r="222" spans="1:16" x14ac:dyDescent="0.25">
      <c r="A222" s="1"/>
      <c r="B222" s="6"/>
      <c r="C222" s="7"/>
      <c r="D222" s="71"/>
      <c r="E222" s="71"/>
      <c r="F222" s="131" t="s">
        <v>62</v>
      </c>
      <c r="G222" s="73"/>
      <c r="H222" s="73"/>
      <c r="I222" s="74"/>
      <c r="J222" s="75"/>
      <c r="K222" s="76"/>
      <c r="L222" s="77"/>
      <c r="M222" s="78"/>
      <c r="N222" s="79">
        <f>+D222*J222</f>
        <v>0</v>
      </c>
      <c r="O222" s="80"/>
      <c r="P222" s="102"/>
    </row>
    <row r="223" spans="1:16" x14ac:dyDescent="0.25">
      <c r="A223" s="1"/>
      <c r="B223" s="6"/>
      <c r="C223" s="7"/>
      <c r="D223" s="81"/>
      <c r="E223" s="81"/>
      <c r="F223" s="78"/>
      <c r="G223" s="78"/>
      <c r="H223" s="78"/>
      <c r="I223" s="78"/>
      <c r="J223" s="82"/>
      <c r="K223" s="83" t="s">
        <v>36</v>
      </c>
      <c r="L223" s="82"/>
      <c r="M223" s="78"/>
      <c r="N223" s="84">
        <f>SUM(N220:O222)</f>
        <v>150</v>
      </c>
      <c r="O223" s="84"/>
      <c r="P223" s="102"/>
    </row>
    <row r="224" spans="1:16" x14ac:dyDescent="0.25">
      <c r="A224" s="1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102"/>
    </row>
    <row r="225" spans="1:16" x14ac:dyDescent="0.25">
      <c r="A225" s="1"/>
      <c r="B225" s="6"/>
      <c r="C225" s="7"/>
      <c r="D225" s="85" t="s">
        <v>37</v>
      </c>
      <c r="E225" s="86"/>
      <c r="F225" s="87"/>
      <c r="G225" s="85" t="s">
        <v>38</v>
      </c>
      <c r="H225" s="86"/>
      <c r="I225" s="87"/>
      <c r="J225" s="7"/>
      <c r="K225" s="7"/>
      <c r="L225" s="7"/>
      <c r="M225" s="7"/>
      <c r="N225" s="7"/>
      <c r="O225" s="7"/>
      <c r="P225" s="102"/>
    </row>
    <row r="226" spans="1:16" x14ac:dyDescent="0.25">
      <c r="A226" s="1"/>
      <c r="B226" s="6"/>
      <c r="C226" s="7"/>
      <c r="D226" s="6"/>
      <c r="E226" s="7"/>
      <c r="F226" s="16"/>
      <c r="G226" s="6"/>
      <c r="H226" s="7"/>
      <c r="I226" s="16"/>
      <c r="J226" s="7"/>
      <c r="K226" s="7"/>
      <c r="L226" s="7"/>
      <c r="M226" s="7"/>
      <c r="N226" s="7"/>
      <c r="O226" s="7"/>
      <c r="P226" s="102"/>
    </row>
    <row r="227" spans="1:16" x14ac:dyDescent="0.25">
      <c r="A227" s="1"/>
      <c r="B227" s="6"/>
      <c r="C227" s="7"/>
      <c r="D227" s="88"/>
      <c r="E227" s="89"/>
      <c r="F227" s="90"/>
      <c r="G227" s="6"/>
      <c r="H227" s="7"/>
      <c r="I227" s="16"/>
      <c r="J227" s="7"/>
      <c r="K227" s="7"/>
      <c r="L227" s="7"/>
      <c r="M227" s="7"/>
      <c r="N227" s="7"/>
      <c r="O227" s="7"/>
      <c r="P227" s="102"/>
    </row>
    <row r="228" spans="1:16" x14ac:dyDescent="0.25">
      <c r="A228" s="1"/>
      <c r="B228" s="6"/>
      <c r="C228" s="7"/>
      <c r="D228" s="3"/>
      <c r="E228" s="4"/>
      <c r="F228" s="5"/>
      <c r="G228" s="6"/>
      <c r="H228" s="7"/>
      <c r="I228" s="16"/>
      <c r="J228" s="7"/>
      <c r="K228" s="7"/>
      <c r="L228" s="7"/>
      <c r="M228" s="7"/>
      <c r="N228" s="7"/>
      <c r="O228" s="7"/>
      <c r="P228" s="102"/>
    </row>
    <row r="229" spans="1:16" x14ac:dyDescent="0.25">
      <c r="A229" s="1"/>
      <c r="B229" s="6"/>
      <c r="C229" s="7"/>
      <c r="D229" s="91" t="s">
        <v>56</v>
      </c>
      <c r="E229" s="92"/>
      <c r="F229" s="93"/>
      <c r="G229" s="6"/>
      <c r="H229" s="7"/>
      <c r="I229" s="16"/>
      <c r="J229" s="7"/>
      <c r="K229" s="7"/>
      <c r="L229" s="7"/>
      <c r="M229" s="7"/>
      <c r="N229" s="7"/>
      <c r="O229" s="7"/>
      <c r="P229" s="102"/>
    </row>
    <row r="230" spans="1:16" x14ac:dyDescent="0.25">
      <c r="A230" s="1"/>
      <c r="B230" s="6"/>
      <c r="C230" s="7"/>
      <c r="D230" s="88"/>
      <c r="E230" s="89"/>
      <c r="F230" s="90"/>
      <c r="G230" s="88"/>
      <c r="H230" s="89"/>
      <c r="I230" s="90"/>
      <c r="J230" s="7"/>
      <c r="K230" s="7"/>
      <c r="L230" s="7"/>
      <c r="M230" s="7"/>
      <c r="N230" s="7"/>
      <c r="O230" s="7"/>
      <c r="P230" s="102"/>
    </row>
    <row r="231" spans="1:16" x14ac:dyDescent="0.25">
      <c r="A231" s="1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102"/>
    </row>
    <row r="232" spans="1:16" x14ac:dyDescent="0.25">
      <c r="A232" s="1"/>
      <c r="B232" s="88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127"/>
    </row>
    <row r="233" spans="1:16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6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6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6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6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6" x14ac:dyDescent="0.25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101"/>
    </row>
    <row r="239" spans="1:16" x14ac:dyDescent="0.25">
      <c r="A239" s="1"/>
      <c r="B239" s="6"/>
      <c r="C239" s="7"/>
      <c r="D239" s="7"/>
      <c r="E239" s="7"/>
      <c r="F239" s="8" t="s">
        <v>0</v>
      </c>
      <c r="G239" s="8"/>
      <c r="H239" s="8"/>
      <c r="I239" s="9"/>
      <c r="J239" s="10" t="s">
        <v>1</v>
      </c>
      <c r="K239" s="11"/>
      <c r="L239" s="12"/>
      <c r="M239" s="13"/>
      <c r="N239" s="14" t="s">
        <v>2</v>
      </c>
      <c r="O239" s="15"/>
      <c r="P239" s="102"/>
    </row>
    <row r="240" spans="1:16" x14ac:dyDescent="0.25">
      <c r="A240" s="1"/>
      <c r="B240" s="6"/>
      <c r="C240" s="7"/>
      <c r="D240" s="7"/>
      <c r="E240" s="103" t="s">
        <v>48</v>
      </c>
      <c r="F240" s="103"/>
      <c r="G240" s="103"/>
      <c r="H240" s="103"/>
      <c r="I240" s="104"/>
      <c r="J240" s="105">
        <v>610</v>
      </c>
      <c r="K240" s="106"/>
      <c r="L240" s="107"/>
      <c r="M240" s="13"/>
      <c r="N240" s="108" t="s">
        <v>64</v>
      </c>
      <c r="O240" s="109"/>
      <c r="P240" s="102"/>
    </row>
    <row r="241" spans="1:16" ht="18" x14ac:dyDescent="0.25">
      <c r="A241" s="1"/>
      <c r="B241" s="6"/>
      <c r="C241" s="7"/>
      <c r="D241" s="7"/>
      <c r="E241" s="7"/>
      <c r="F241" s="21" t="s">
        <v>5</v>
      </c>
      <c r="G241" s="21"/>
      <c r="H241" s="21"/>
      <c r="I241" s="21"/>
      <c r="J241" s="7"/>
      <c r="K241" s="7"/>
      <c r="L241" s="7"/>
      <c r="M241" s="7"/>
      <c r="N241" s="7"/>
      <c r="O241" s="7"/>
      <c r="P241" s="102"/>
    </row>
    <row r="242" spans="1:16" x14ac:dyDescent="0.25">
      <c r="A242" s="1"/>
      <c r="B242" s="6"/>
      <c r="C242" s="7"/>
      <c r="D242" s="7"/>
      <c r="E242" s="7"/>
      <c r="F242" s="23" t="s">
        <v>6</v>
      </c>
      <c r="G242" s="23"/>
      <c r="H242" s="23"/>
      <c r="I242" s="110"/>
      <c r="J242" s="111" t="s">
        <v>7</v>
      </c>
      <c r="K242" s="112"/>
      <c r="L242" s="113"/>
      <c r="M242" s="7"/>
      <c r="N242" s="14" t="s">
        <v>8</v>
      </c>
      <c r="O242" s="15"/>
      <c r="P242" s="102"/>
    </row>
    <row r="243" spans="1:16" x14ac:dyDescent="0.25">
      <c r="A243" s="1"/>
      <c r="B243" s="6"/>
      <c r="C243" s="28" t="s">
        <v>9</v>
      </c>
      <c r="D243" s="7"/>
      <c r="E243" s="7"/>
      <c r="F243" s="7"/>
      <c r="G243" s="7"/>
      <c r="H243" s="7"/>
      <c r="I243" s="7"/>
      <c r="J243" s="114">
        <v>44749</v>
      </c>
      <c r="K243" s="30"/>
      <c r="L243" s="31"/>
      <c r="M243" s="7"/>
      <c r="N243" s="32" t="s">
        <v>10</v>
      </c>
      <c r="O243" s="109"/>
      <c r="P243" s="102"/>
    </row>
    <row r="244" spans="1:16" x14ac:dyDescent="0.25">
      <c r="A244" s="1"/>
      <c r="B244" s="6"/>
      <c r="C244" s="28" t="s">
        <v>11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102"/>
    </row>
    <row r="245" spans="1:16" x14ac:dyDescent="0.25">
      <c r="A245" s="1"/>
      <c r="B245" s="6"/>
      <c r="C245" s="34" t="s">
        <v>12</v>
      </c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102"/>
    </row>
    <row r="246" spans="1:16" x14ac:dyDescent="0.25">
      <c r="A246" s="1"/>
      <c r="B246" s="6"/>
      <c r="C246" s="19"/>
      <c r="D246" s="115"/>
      <c r="E246" s="115"/>
      <c r="F246" s="115"/>
      <c r="G246" s="115"/>
      <c r="H246" s="115"/>
      <c r="I246" s="20"/>
      <c r="J246" s="7"/>
      <c r="K246" s="14" t="s">
        <v>14</v>
      </c>
      <c r="L246" s="38"/>
      <c r="M246" s="38"/>
      <c r="N246" s="38"/>
      <c r="O246" s="15"/>
      <c r="P246" s="102"/>
    </row>
    <row r="247" spans="1:16" x14ac:dyDescent="0.25">
      <c r="A247" s="1"/>
      <c r="B247" s="39"/>
      <c r="C247" s="116" t="s">
        <v>15</v>
      </c>
      <c r="D247" s="117"/>
      <c r="E247" s="118"/>
      <c r="F247" s="116" t="s">
        <v>16</v>
      </c>
      <c r="G247" s="118"/>
      <c r="H247" s="116" t="s">
        <v>17</v>
      </c>
      <c r="I247" s="118"/>
      <c r="J247" s="7"/>
      <c r="K247" s="119">
        <v>20107010440092</v>
      </c>
      <c r="L247" s="120"/>
      <c r="M247" s="120"/>
      <c r="N247" s="120"/>
      <c r="O247" s="121"/>
      <c r="P247" s="102"/>
    </row>
    <row r="248" spans="1:16" x14ac:dyDescent="0.25">
      <c r="B248" s="6"/>
      <c r="C248" s="7"/>
      <c r="D248" s="7"/>
      <c r="E248" s="7"/>
      <c r="F248" s="7"/>
      <c r="G248" s="7"/>
      <c r="H248" s="7"/>
      <c r="I248" s="7"/>
      <c r="J248" s="7"/>
      <c r="K248" s="51"/>
      <c r="L248" s="7"/>
      <c r="M248" s="7"/>
      <c r="N248" s="7"/>
      <c r="O248" s="7"/>
      <c r="P248" s="102"/>
    </row>
    <row r="249" spans="1:16" x14ac:dyDescent="0.25">
      <c r="B249" s="6"/>
      <c r="C249" s="3"/>
      <c r="D249" s="4"/>
      <c r="E249" s="4"/>
      <c r="F249" s="4"/>
      <c r="G249" s="4"/>
      <c r="H249" s="4"/>
      <c r="I249" s="4"/>
      <c r="J249" s="5"/>
      <c r="K249" s="7"/>
      <c r="L249" s="3"/>
      <c r="M249" s="4"/>
      <c r="N249" s="4"/>
      <c r="O249" s="5"/>
      <c r="P249" s="102"/>
    </row>
    <row r="250" spans="1:16" x14ac:dyDescent="0.25">
      <c r="A250" s="1"/>
      <c r="B250" s="6"/>
      <c r="C250" s="88"/>
      <c r="D250" s="89"/>
      <c r="E250" s="89"/>
      <c r="F250" s="45" t="s">
        <v>51</v>
      </c>
      <c r="G250" s="45"/>
      <c r="H250" s="89"/>
      <c r="I250" s="89"/>
      <c r="J250" s="90"/>
      <c r="K250" s="7"/>
      <c r="L250" s="44" t="s">
        <v>66</v>
      </c>
      <c r="M250" s="122"/>
      <c r="N250" s="123" t="s">
        <v>67</v>
      </c>
      <c r="O250" s="48" t="s">
        <v>45</v>
      </c>
      <c r="P250" s="102"/>
    </row>
    <row r="251" spans="1:16" x14ac:dyDescent="0.25">
      <c r="A251" s="1"/>
      <c r="B251" s="6"/>
      <c r="C251" s="116" t="s">
        <v>21</v>
      </c>
      <c r="D251" s="117"/>
      <c r="E251" s="117"/>
      <c r="F251" s="117"/>
      <c r="G251" s="117"/>
      <c r="H251" s="117"/>
      <c r="I251" s="117"/>
      <c r="J251" s="118"/>
      <c r="K251" s="7"/>
      <c r="L251" s="116" t="s">
        <v>22</v>
      </c>
      <c r="M251" s="117"/>
      <c r="N251" s="49" t="s">
        <v>23</v>
      </c>
      <c r="O251" s="50" t="s">
        <v>24</v>
      </c>
      <c r="P251" s="102"/>
    </row>
    <row r="252" spans="1:16" x14ac:dyDescent="0.25">
      <c r="A252" s="1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102"/>
    </row>
    <row r="253" spans="1:16" x14ac:dyDescent="0.25">
      <c r="A253" s="1"/>
      <c r="B253" s="6"/>
      <c r="C253" s="52" t="s">
        <v>26</v>
      </c>
      <c r="D253" s="53"/>
      <c r="E253" s="54">
        <f>N259</f>
        <v>150</v>
      </c>
      <c r="F253" s="55" t="s">
        <v>54</v>
      </c>
      <c r="G253" s="56"/>
      <c r="H253" s="56"/>
      <c r="I253" s="56"/>
      <c r="J253" s="56"/>
      <c r="K253" s="56"/>
      <c r="L253" s="56"/>
      <c r="M253" s="56"/>
      <c r="N253" s="56"/>
      <c r="O253" s="57"/>
      <c r="P253" s="102"/>
    </row>
    <row r="254" spans="1:16" x14ac:dyDescent="0.25">
      <c r="A254" s="1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102"/>
    </row>
    <row r="255" spans="1:16" x14ac:dyDescent="0.25">
      <c r="A255" s="1"/>
      <c r="B255" s="6"/>
      <c r="C255" s="7"/>
      <c r="D255" s="58" t="s">
        <v>28</v>
      </c>
      <c r="E255" s="58" t="s">
        <v>29</v>
      </c>
      <c r="F255" s="59" t="s">
        <v>30</v>
      </c>
      <c r="G255" s="59"/>
      <c r="H255" s="59"/>
      <c r="I255" s="59"/>
      <c r="J255" s="59" t="s">
        <v>31</v>
      </c>
      <c r="K255" s="59"/>
      <c r="L255" s="59"/>
      <c r="M255" s="60"/>
      <c r="N255" s="59" t="s">
        <v>32</v>
      </c>
      <c r="O255" s="59"/>
      <c r="P255" s="102"/>
    </row>
    <row r="256" spans="1:16" x14ac:dyDescent="0.25">
      <c r="A256" s="1"/>
      <c r="B256" s="6"/>
      <c r="C256" s="7"/>
      <c r="D256" s="61">
        <v>1</v>
      </c>
      <c r="E256" s="61" t="s">
        <v>33</v>
      </c>
      <c r="F256" s="62" t="s">
        <v>34</v>
      </c>
      <c r="G256" s="63"/>
      <c r="H256" s="63"/>
      <c r="I256" s="64"/>
      <c r="J256" s="65">
        <v>150</v>
      </c>
      <c r="K256" s="66"/>
      <c r="L256" s="67"/>
      <c r="M256" s="68"/>
      <c r="N256" s="69">
        <f>+D256*J256</f>
        <v>150</v>
      </c>
      <c r="O256" s="70"/>
      <c r="P256" s="102"/>
    </row>
    <row r="257" spans="1:16" x14ac:dyDescent="0.25">
      <c r="A257" s="1"/>
      <c r="B257" s="6"/>
      <c r="C257" s="7"/>
      <c r="D257" s="71"/>
      <c r="E257" s="71"/>
      <c r="F257" s="72" t="s">
        <v>35</v>
      </c>
      <c r="G257" s="73"/>
      <c r="H257" s="73"/>
      <c r="I257" s="74"/>
      <c r="J257" s="75"/>
      <c r="K257" s="76"/>
      <c r="L257" s="77"/>
      <c r="M257" s="78"/>
      <c r="N257" s="79">
        <f>+D257*J257</f>
        <v>0</v>
      </c>
      <c r="O257" s="80"/>
      <c r="P257" s="102"/>
    </row>
    <row r="258" spans="1:16" x14ac:dyDescent="0.25">
      <c r="A258" s="1"/>
      <c r="B258" s="6"/>
      <c r="C258" s="7"/>
      <c r="D258" s="71"/>
      <c r="E258" s="71"/>
      <c r="F258" s="72"/>
      <c r="G258" s="73"/>
      <c r="H258" s="73"/>
      <c r="I258" s="74"/>
      <c r="J258" s="75"/>
      <c r="K258" s="76"/>
      <c r="L258" s="77"/>
      <c r="M258" s="78"/>
      <c r="N258" s="79">
        <f>+D258*J258</f>
        <v>0</v>
      </c>
      <c r="O258" s="80"/>
      <c r="P258" s="102"/>
    </row>
    <row r="259" spans="1:16" x14ac:dyDescent="0.25">
      <c r="A259" s="1"/>
      <c r="B259" s="6"/>
      <c r="C259" s="7"/>
      <c r="D259" s="81"/>
      <c r="E259" s="81"/>
      <c r="F259" s="78"/>
      <c r="G259" s="78"/>
      <c r="H259" s="78"/>
      <c r="I259" s="78"/>
      <c r="J259" s="82"/>
      <c r="K259" s="83" t="s">
        <v>36</v>
      </c>
      <c r="L259" s="82"/>
      <c r="M259" s="78"/>
      <c r="N259" s="84">
        <f>SUM(N256:O258)</f>
        <v>150</v>
      </c>
      <c r="O259" s="84"/>
      <c r="P259" s="102"/>
    </row>
    <row r="260" spans="1:16" x14ac:dyDescent="0.25">
      <c r="A260" s="1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102"/>
    </row>
    <row r="261" spans="1:16" x14ac:dyDescent="0.25">
      <c r="A261" s="1"/>
      <c r="B261" s="6"/>
      <c r="C261" s="7"/>
      <c r="D261" s="85" t="s">
        <v>37</v>
      </c>
      <c r="E261" s="86"/>
      <c r="F261" s="87"/>
      <c r="G261" s="85" t="s">
        <v>38</v>
      </c>
      <c r="H261" s="86"/>
      <c r="I261" s="87"/>
      <c r="J261" s="7"/>
      <c r="K261" s="7"/>
      <c r="L261" s="7"/>
      <c r="M261" s="7"/>
      <c r="N261" s="7"/>
      <c r="O261" s="7"/>
      <c r="P261" s="102"/>
    </row>
    <row r="262" spans="1:16" x14ac:dyDescent="0.25">
      <c r="A262" s="1"/>
      <c r="B262" s="6"/>
      <c r="C262" s="7"/>
      <c r="D262" s="6"/>
      <c r="E262" s="7"/>
      <c r="F262" s="16"/>
      <c r="G262" s="6"/>
      <c r="H262" s="7"/>
      <c r="I262" s="16"/>
      <c r="J262" s="7"/>
      <c r="K262" s="7"/>
      <c r="L262" s="7"/>
      <c r="M262" s="7"/>
      <c r="N262" s="7"/>
      <c r="O262" s="7"/>
      <c r="P262" s="102"/>
    </row>
    <row r="263" spans="1:16" x14ac:dyDescent="0.25">
      <c r="A263" s="1"/>
      <c r="B263" s="6"/>
      <c r="C263" s="7"/>
      <c r="D263" s="88"/>
      <c r="E263" s="89"/>
      <c r="F263" s="90"/>
      <c r="G263" s="6"/>
      <c r="H263" s="7"/>
      <c r="I263" s="16"/>
      <c r="J263" s="7"/>
      <c r="K263" s="7"/>
      <c r="L263" s="7"/>
      <c r="M263" s="7"/>
      <c r="N263" s="7"/>
      <c r="O263" s="7"/>
      <c r="P263" s="102"/>
    </row>
    <row r="264" spans="1:16" x14ac:dyDescent="0.25">
      <c r="A264" s="1"/>
      <c r="B264" s="6"/>
      <c r="C264" s="7"/>
      <c r="D264" s="3"/>
      <c r="E264" s="4"/>
      <c r="F264" s="5"/>
      <c r="G264" s="6"/>
      <c r="H264" s="7"/>
      <c r="I264" s="16"/>
      <c r="J264" s="7"/>
      <c r="K264" s="7"/>
      <c r="L264" s="7"/>
      <c r="M264" s="7"/>
      <c r="N264" s="7"/>
      <c r="O264" s="7"/>
      <c r="P264" s="102"/>
    </row>
    <row r="265" spans="1:16" x14ac:dyDescent="0.25">
      <c r="A265" s="1"/>
      <c r="B265" s="6"/>
      <c r="C265" s="7"/>
      <c r="D265" s="91" t="s">
        <v>68</v>
      </c>
      <c r="E265" s="92"/>
      <c r="F265" s="93"/>
      <c r="G265" s="6"/>
      <c r="H265" s="7"/>
      <c r="I265" s="16"/>
      <c r="J265" s="7"/>
      <c r="K265" s="7"/>
      <c r="L265" s="7"/>
      <c r="M265" s="7"/>
      <c r="N265" s="7"/>
      <c r="O265" s="7"/>
      <c r="P265" s="102"/>
    </row>
    <row r="266" spans="1:16" x14ac:dyDescent="0.25">
      <c r="A266" s="1"/>
      <c r="B266" s="6"/>
      <c r="C266" s="7"/>
      <c r="D266" s="88"/>
      <c r="E266" s="89"/>
      <c r="F266" s="90"/>
      <c r="G266" s="88"/>
      <c r="H266" s="89"/>
      <c r="I266" s="90"/>
      <c r="J266" s="7"/>
      <c r="K266" s="7"/>
      <c r="L266" s="7"/>
      <c r="M266" s="7"/>
      <c r="N266" s="7"/>
      <c r="O266" s="7"/>
      <c r="P266" s="102"/>
    </row>
    <row r="267" spans="1:16" x14ac:dyDescent="0.25">
      <c r="A267" s="1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102"/>
    </row>
    <row r="268" spans="1:16" x14ac:dyDescent="0.25">
      <c r="A268" s="1"/>
      <c r="B268" s="88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127"/>
    </row>
    <row r="269" spans="1:16" x14ac:dyDescent="0.25">
      <c r="A269" s="1"/>
    </row>
    <row r="270" spans="1:16" x14ac:dyDescent="0.25">
      <c r="A270" s="1"/>
    </row>
    <row r="271" spans="1:16" x14ac:dyDescent="0.25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101"/>
    </row>
    <row r="272" spans="1:16" x14ac:dyDescent="0.25">
      <c r="A272" s="1"/>
      <c r="B272" s="6"/>
      <c r="C272" s="7"/>
      <c r="D272" s="7"/>
      <c r="E272" s="7"/>
      <c r="F272" s="8" t="s">
        <v>0</v>
      </c>
      <c r="G272" s="8"/>
      <c r="H272" s="8"/>
      <c r="I272" s="9"/>
      <c r="J272" s="10" t="s">
        <v>1</v>
      </c>
      <c r="K272" s="11"/>
      <c r="L272" s="12"/>
      <c r="M272" s="13"/>
      <c r="N272" s="14" t="s">
        <v>2</v>
      </c>
      <c r="O272" s="15"/>
      <c r="P272" s="102"/>
    </row>
    <row r="273" spans="1:16" x14ac:dyDescent="0.25">
      <c r="A273" s="1"/>
      <c r="B273" s="6"/>
      <c r="C273" s="7"/>
      <c r="D273" s="7"/>
      <c r="E273" s="103" t="s">
        <v>48</v>
      </c>
      <c r="F273" s="103"/>
      <c r="G273" s="103"/>
      <c r="H273" s="103"/>
      <c r="I273" s="104"/>
      <c r="J273" s="105">
        <v>610</v>
      </c>
      <c r="K273" s="106"/>
      <c r="L273" s="107"/>
      <c r="M273" s="13"/>
      <c r="N273" s="108" t="s">
        <v>69</v>
      </c>
      <c r="O273" s="109"/>
      <c r="P273" s="102"/>
    </row>
    <row r="274" spans="1:16" ht="18" x14ac:dyDescent="0.25">
      <c r="A274" s="1"/>
      <c r="B274" s="6"/>
      <c r="C274" s="7"/>
      <c r="D274" s="7"/>
      <c r="E274" s="7"/>
      <c r="F274" s="21" t="s">
        <v>5</v>
      </c>
      <c r="G274" s="21"/>
      <c r="H274" s="21"/>
      <c r="I274" s="21"/>
      <c r="J274" s="7"/>
      <c r="K274" s="7"/>
      <c r="L274" s="7"/>
      <c r="M274" s="7"/>
      <c r="N274" s="7"/>
      <c r="O274" s="7"/>
      <c r="P274" s="102"/>
    </row>
    <row r="275" spans="1:16" x14ac:dyDescent="0.25">
      <c r="A275" s="1"/>
      <c r="B275" s="6"/>
      <c r="C275" s="7"/>
      <c r="D275" s="7"/>
      <c r="E275" s="7"/>
      <c r="F275" s="23" t="s">
        <v>6</v>
      </c>
      <c r="G275" s="23"/>
      <c r="H275" s="23"/>
      <c r="I275" s="110"/>
      <c r="J275" s="111" t="s">
        <v>7</v>
      </c>
      <c r="K275" s="112"/>
      <c r="L275" s="113"/>
      <c r="M275" s="7"/>
      <c r="N275" s="14" t="s">
        <v>8</v>
      </c>
      <c r="O275" s="15"/>
      <c r="P275" s="102"/>
    </row>
    <row r="276" spans="1:16" x14ac:dyDescent="0.25">
      <c r="A276" s="1"/>
      <c r="B276" s="6"/>
      <c r="C276" s="28" t="s">
        <v>9</v>
      </c>
      <c r="D276" s="7"/>
      <c r="E276" s="7"/>
      <c r="F276" s="7"/>
      <c r="G276" s="7"/>
      <c r="H276" s="7"/>
      <c r="I276" s="7"/>
      <c r="J276" s="114">
        <v>44749</v>
      </c>
      <c r="K276" s="30"/>
      <c r="L276" s="31"/>
      <c r="M276" s="7"/>
      <c r="N276" s="32" t="s">
        <v>10</v>
      </c>
      <c r="O276" s="109"/>
      <c r="P276" s="102"/>
    </row>
    <row r="277" spans="1:16" x14ac:dyDescent="0.25">
      <c r="A277" s="1"/>
      <c r="B277" s="6"/>
      <c r="C277" s="28" t="s">
        <v>11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102"/>
    </row>
    <row r="278" spans="1:16" x14ac:dyDescent="0.25">
      <c r="A278" s="1"/>
      <c r="B278" s="6"/>
      <c r="C278" s="34" t="s">
        <v>12</v>
      </c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102"/>
    </row>
    <row r="279" spans="1:16" x14ac:dyDescent="0.25">
      <c r="A279" s="1"/>
      <c r="B279" s="6"/>
      <c r="C279" s="19"/>
      <c r="D279" s="115"/>
      <c r="E279" s="115"/>
      <c r="F279" s="115"/>
      <c r="G279" s="115"/>
      <c r="H279" s="115"/>
      <c r="I279" s="20"/>
      <c r="J279" s="7"/>
      <c r="K279" s="14" t="s">
        <v>14</v>
      </c>
      <c r="L279" s="38"/>
      <c r="M279" s="38"/>
      <c r="N279" s="38"/>
      <c r="O279" s="15"/>
      <c r="P279" s="102"/>
    </row>
    <row r="280" spans="1:16" x14ac:dyDescent="0.25">
      <c r="A280" s="1"/>
      <c r="B280" s="39"/>
      <c r="C280" s="116" t="s">
        <v>15</v>
      </c>
      <c r="D280" s="117"/>
      <c r="E280" s="118"/>
      <c r="F280" s="116" t="s">
        <v>16</v>
      </c>
      <c r="G280" s="118"/>
      <c r="H280" s="116" t="s">
        <v>17</v>
      </c>
      <c r="I280" s="118"/>
      <c r="J280" s="7"/>
      <c r="K280" s="119">
        <v>19107010440198</v>
      </c>
      <c r="L280" s="120"/>
      <c r="M280" s="120"/>
      <c r="N280" s="120"/>
      <c r="O280" s="121"/>
      <c r="P280" s="102"/>
    </row>
    <row r="281" spans="1:16" x14ac:dyDescent="0.25">
      <c r="A281" s="1"/>
      <c r="B281" s="6"/>
      <c r="C281" s="7"/>
      <c r="D281" s="7"/>
      <c r="E281" s="7"/>
      <c r="F281" s="7"/>
      <c r="G281" s="7"/>
      <c r="H281" s="7"/>
      <c r="I281" s="7"/>
      <c r="J281" s="7"/>
      <c r="K281" s="51"/>
      <c r="L281" s="7"/>
      <c r="M281" s="7"/>
      <c r="N281" s="7"/>
      <c r="O281" s="7"/>
      <c r="P281" s="102"/>
    </row>
    <row r="282" spans="1:16" x14ac:dyDescent="0.25">
      <c r="A282" s="1"/>
      <c r="B282" s="6"/>
      <c r="C282" s="3"/>
      <c r="D282" s="4"/>
      <c r="E282" s="4"/>
      <c r="F282" s="4"/>
      <c r="G282" s="4"/>
      <c r="H282" s="4"/>
      <c r="I282" s="4"/>
      <c r="J282" s="5"/>
      <c r="K282" s="7"/>
      <c r="L282" s="3"/>
      <c r="M282" s="4"/>
      <c r="N282" s="4"/>
      <c r="O282" s="5"/>
      <c r="P282" s="102"/>
    </row>
    <row r="283" spans="1:16" x14ac:dyDescent="0.25">
      <c r="A283" s="1"/>
      <c r="B283" s="6"/>
      <c r="C283" s="88"/>
      <c r="D283" s="89"/>
      <c r="E283" s="89"/>
      <c r="F283" s="45" t="s">
        <v>51</v>
      </c>
      <c r="G283" s="45"/>
      <c r="H283" s="89"/>
      <c r="I283" s="89"/>
      <c r="J283" s="90"/>
      <c r="K283" s="7"/>
      <c r="L283" s="44" t="s">
        <v>66</v>
      </c>
      <c r="M283" s="122"/>
      <c r="N283" s="123" t="s">
        <v>70</v>
      </c>
      <c r="O283" s="48" t="s">
        <v>45</v>
      </c>
      <c r="P283" s="102"/>
    </row>
    <row r="284" spans="1:16" x14ac:dyDescent="0.25">
      <c r="B284" s="6"/>
      <c r="C284" s="116" t="s">
        <v>21</v>
      </c>
      <c r="D284" s="117"/>
      <c r="E284" s="117"/>
      <c r="F284" s="117"/>
      <c r="G284" s="117"/>
      <c r="H284" s="117"/>
      <c r="I284" s="117"/>
      <c r="J284" s="118"/>
      <c r="K284" s="7"/>
      <c r="L284" s="116" t="s">
        <v>22</v>
      </c>
      <c r="M284" s="117"/>
      <c r="N284" s="49" t="s">
        <v>23</v>
      </c>
      <c r="O284" s="50" t="s">
        <v>24</v>
      </c>
      <c r="P284" s="102"/>
    </row>
    <row r="285" spans="1:16" x14ac:dyDescent="0.25">
      <c r="A285" s="1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102"/>
    </row>
    <row r="286" spans="1:16" x14ac:dyDescent="0.25">
      <c r="A286" s="1"/>
      <c r="B286" s="6"/>
      <c r="C286" s="52" t="s">
        <v>26</v>
      </c>
      <c r="D286" s="53"/>
      <c r="E286" s="54">
        <f>N292</f>
        <v>150</v>
      </c>
      <c r="F286" s="124" t="s">
        <v>54</v>
      </c>
      <c r="G286" s="125"/>
      <c r="H286" s="125"/>
      <c r="I286" s="125"/>
      <c r="J286" s="125"/>
      <c r="K286" s="125"/>
      <c r="L286" s="125"/>
      <c r="M286" s="125"/>
      <c r="N286" s="125"/>
      <c r="O286" s="126"/>
      <c r="P286" s="102"/>
    </row>
    <row r="287" spans="1:16" x14ac:dyDescent="0.25">
      <c r="A287" s="1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102"/>
    </row>
    <row r="288" spans="1:16" x14ac:dyDescent="0.25">
      <c r="A288" s="1"/>
      <c r="B288" s="6"/>
      <c r="C288" s="7"/>
      <c r="D288" s="58" t="s">
        <v>28</v>
      </c>
      <c r="E288" s="58" t="s">
        <v>29</v>
      </c>
      <c r="F288" s="59" t="s">
        <v>30</v>
      </c>
      <c r="G288" s="59"/>
      <c r="H288" s="59"/>
      <c r="I288" s="59"/>
      <c r="J288" s="59" t="s">
        <v>31</v>
      </c>
      <c r="K288" s="59"/>
      <c r="L288" s="59"/>
      <c r="M288" s="60"/>
      <c r="N288" s="59" t="s">
        <v>32</v>
      </c>
      <c r="O288" s="59"/>
      <c r="P288" s="102"/>
    </row>
    <row r="289" spans="1:16" x14ac:dyDescent="0.25">
      <c r="A289" s="1"/>
      <c r="B289" s="6"/>
      <c r="C289" s="7"/>
      <c r="D289" s="61">
        <v>1</v>
      </c>
      <c r="E289" s="61" t="s">
        <v>33</v>
      </c>
      <c r="F289" s="62" t="s">
        <v>34</v>
      </c>
      <c r="G289" s="63"/>
      <c r="H289" s="63"/>
      <c r="I289" s="64"/>
      <c r="J289" s="65">
        <v>150</v>
      </c>
      <c r="K289" s="66"/>
      <c r="L289" s="67"/>
      <c r="M289" s="68"/>
      <c r="N289" s="69">
        <f>+D289*J289</f>
        <v>150</v>
      </c>
      <c r="O289" s="70"/>
      <c r="P289" s="102"/>
    </row>
    <row r="290" spans="1:16" x14ac:dyDescent="0.25">
      <c r="A290" s="1"/>
      <c r="B290" s="6"/>
      <c r="C290" s="7"/>
      <c r="D290" s="71"/>
      <c r="E290" s="71"/>
      <c r="F290" s="72" t="s">
        <v>35</v>
      </c>
      <c r="G290" s="73"/>
      <c r="H290" s="73"/>
      <c r="I290" s="74"/>
      <c r="J290" s="75"/>
      <c r="K290" s="76"/>
      <c r="L290" s="77"/>
      <c r="M290" s="78"/>
      <c r="N290" s="79">
        <f>+D290*J290</f>
        <v>0</v>
      </c>
      <c r="O290" s="80"/>
      <c r="P290" s="102"/>
    </row>
    <row r="291" spans="1:16" x14ac:dyDescent="0.25">
      <c r="A291" s="1"/>
      <c r="B291" s="6"/>
      <c r="C291" s="7"/>
      <c r="D291" s="71"/>
      <c r="E291" s="71"/>
      <c r="F291" s="72"/>
      <c r="G291" s="73"/>
      <c r="H291" s="73"/>
      <c r="I291" s="74"/>
      <c r="J291" s="75"/>
      <c r="K291" s="76"/>
      <c r="L291" s="77"/>
      <c r="M291" s="78"/>
      <c r="N291" s="79">
        <f>+D291*J291</f>
        <v>0</v>
      </c>
      <c r="O291" s="80"/>
      <c r="P291" s="102"/>
    </row>
    <row r="292" spans="1:16" x14ac:dyDescent="0.25">
      <c r="A292" s="1"/>
      <c r="B292" s="6"/>
      <c r="C292" s="7"/>
      <c r="D292" s="81"/>
      <c r="E292" s="81"/>
      <c r="F292" s="78"/>
      <c r="G292" s="78"/>
      <c r="H292" s="78"/>
      <c r="I292" s="78"/>
      <c r="J292" s="82"/>
      <c r="K292" s="83" t="s">
        <v>36</v>
      </c>
      <c r="L292" s="82"/>
      <c r="M292" s="78"/>
      <c r="N292" s="84">
        <f>SUM(N289:O291)</f>
        <v>150</v>
      </c>
      <c r="O292" s="84"/>
      <c r="P292" s="102"/>
    </row>
    <row r="293" spans="1:16" x14ac:dyDescent="0.25">
      <c r="A293" s="1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102"/>
    </row>
    <row r="294" spans="1:16" x14ac:dyDescent="0.25">
      <c r="A294" s="1"/>
      <c r="B294" s="6"/>
      <c r="C294" s="7"/>
      <c r="D294" s="85" t="s">
        <v>37</v>
      </c>
      <c r="E294" s="86"/>
      <c r="F294" s="87"/>
      <c r="G294" s="85" t="s">
        <v>38</v>
      </c>
      <c r="H294" s="86"/>
      <c r="I294" s="87"/>
      <c r="J294" s="7"/>
      <c r="K294" s="7"/>
      <c r="L294" s="7"/>
      <c r="M294" s="7"/>
      <c r="N294" s="7"/>
      <c r="O294" s="7"/>
      <c r="P294" s="102"/>
    </row>
    <row r="295" spans="1:16" x14ac:dyDescent="0.25">
      <c r="A295" s="1"/>
      <c r="B295" s="6"/>
      <c r="C295" s="7"/>
      <c r="D295" s="6"/>
      <c r="E295" s="7"/>
      <c r="F295" s="16"/>
      <c r="G295" s="6"/>
      <c r="H295" s="7"/>
      <c r="I295" s="16"/>
      <c r="J295" s="7"/>
      <c r="K295" s="7"/>
      <c r="L295" s="7"/>
      <c r="M295" s="7"/>
      <c r="N295" s="7"/>
      <c r="O295" s="7"/>
      <c r="P295" s="102"/>
    </row>
    <row r="296" spans="1:16" x14ac:dyDescent="0.25">
      <c r="A296" s="1"/>
      <c r="B296" s="6"/>
      <c r="C296" s="7"/>
      <c r="D296" s="88"/>
      <c r="E296" s="89"/>
      <c r="F296" s="90"/>
      <c r="G296" s="6"/>
      <c r="H296" s="7"/>
      <c r="I296" s="16"/>
      <c r="J296" s="7"/>
      <c r="K296" s="7"/>
      <c r="L296" s="7"/>
      <c r="M296" s="7"/>
      <c r="N296" s="7"/>
      <c r="O296" s="7"/>
      <c r="P296" s="102"/>
    </row>
    <row r="297" spans="1:16" x14ac:dyDescent="0.25">
      <c r="A297" s="1"/>
      <c r="B297" s="6"/>
      <c r="C297" s="7"/>
      <c r="D297" s="3"/>
      <c r="E297" s="4"/>
      <c r="F297" s="5"/>
      <c r="G297" s="6"/>
      <c r="H297" s="7"/>
      <c r="I297" s="16"/>
      <c r="J297" s="7"/>
      <c r="K297" s="7"/>
      <c r="L297" s="7"/>
      <c r="M297" s="7"/>
      <c r="N297" s="7"/>
      <c r="O297" s="7"/>
      <c r="P297" s="102"/>
    </row>
    <row r="298" spans="1:16" x14ac:dyDescent="0.25">
      <c r="A298" s="1"/>
      <c r="B298" s="6"/>
      <c r="C298" s="7"/>
      <c r="D298" s="91" t="s">
        <v>56</v>
      </c>
      <c r="E298" s="92"/>
      <c r="F298" s="93"/>
      <c r="G298" s="6"/>
      <c r="H298" s="7"/>
      <c r="I298" s="16"/>
      <c r="J298" s="7"/>
      <c r="K298" s="7"/>
      <c r="L298" s="7"/>
      <c r="M298" s="7"/>
      <c r="N298" s="7"/>
      <c r="O298" s="7"/>
      <c r="P298" s="102"/>
    </row>
    <row r="299" spans="1:16" x14ac:dyDescent="0.25">
      <c r="A299" s="1"/>
      <c r="B299" s="6"/>
      <c r="C299" s="7"/>
      <c r="D299" s="88"/>
      <c r="E299" s="89"/>
      <c r="F299" s="90"/>
      <c r="G299" s="88"/>
      <c r="H299" s="89"/>
      <c r="I299" s="90"/>
      <c r="J299" s="7"/>
      <c r="K299" s="7"/>
      <c r="L299" s="7"/>
      <c r="M299" s="7"/>
      <c r="N299" s="7"/>
      <c r="O299" s="7"/>
      <c r="P299" s="102"/>
    </row>
    <row r="300" spans="1:16" x14ac:dyDescent="0.25">
      <c r="A300" s="1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102"/>
    </row>
    <row r="301" spans="1:16" x14ac:dyDescent="0.25">
      <c r="A301" s="1"/>
      <c r="B301" s="88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127"/>
    </row>
    <row r="302" spans="1:16" x14ac:dyDescent="0.25">
      <c r="A302" s="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100"/>
    </row>
    <row r="303" spans="1:16" x14ac:dyDescent="0.25">
      <c r="A303" s="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100"/>
    </row>
    <row r="304" spans="1:16" x14ac:dyDescent="0.25">
      <c r="A304" s="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100"/>
    </row>
    <row r="305" spans="1:16" x14ac:dyDescent="0.25">
      <c r="A305" s="1"/>
    </row>
    <row r="306" spans="1:16" x14ac:dyDescent="0.25">
      <c r="A306" s="1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101"/>
    </row>
    <row r="307" spans="1:16" x14ac:dyDescent="0.25">
      <c r="A307" s="1"/>
      <c r="B307" s="6"/>
      <c r="C307" s="7"/>
      <c r="D307" s="7"/>
      <c r="E307" s="7"/>
      <c r="F307" s="8" t="s">
        <v>0</v>
      </c>
      <c r="G307" s="8"/>
      <c r="H307" s="8"/>
      <c r="I307" s="9"/>
      <c r="J307" s="10" t="s">
        <v>1</v>
      </c>
      <c r="K307" s="11"/>
      <c r="L307" s="12"/>
      <c r="M307" s="13"/>
      <c r="N307" s="14" t="s">
        <v>2</v>
      </c>
      <c r="O307" s="15"/>
      <c r="P307" s="102"/>
    </row>
    <row r="308" spans="1:16" x14ac:dyDescent="0.25">
      <c r="A308" s="1"/>
      <c r="B308" s="6"/>
      <c r="C308" s="7"/>
      <c r="D308" s="7"/>
      <c r="E308" s="103" t="s">
        <v>48</v>
      </c>
      <c r="F308" s="103"/>
      <c r="G308" s="103"/>
      <c r="H308" s="103"/>
      <c r="I308" s="104"/>
      <c r="J308" s="105">
        <v>610</v>
      </c>
      <c r="K308" s="106"/>
      <c r="L308" s="107"/>
      <c r="M308" s="13"/>
      <c r="N308" s="128" t="s">
        <v>71</v>
      </c>
      <c r="O308" s="129"/>
      <c r="P308" s="102"/>
    </row>
    <row r="309" spans="1:16" ht="18" x14ac:dyDescent="0.25">
      <c r="A309" s="1"/>
      <c r="B309" s="6"/>
      <c r="C309" s="7"/>
      <c r="D309" s="7"/>
      <c r="E309" s="7"/>
      <c r="F309" s="21" t="s">
        <v>5</v>
      </c>
      <c r="G309" s="21"/>
      <c r="H309" s="21"/>
      <c r="I309" s="21"/>
      <c r="J309" s="7"/>
      <c r="K309" s="7"/>
      <c r="L309" s="7"/>
      <c r="M309" s="7"/>
      <c r="N309" s="7"/>
      <c r="O309" s="7"/>
      <c r="P309" s="102"/>
    </row>
    <row r="310" spans="1:16" x14ac:dyDescent="0.25">
      <c r="A310" s="1"/>
      <c r="B310" s="6"/>
      <c r="C310" s="7"/>
      <c r="D310" s="7"/>
      <c r="E310" s="7"/>
      <c r="F310" s="23" t="s">
        <v>6</v>
      </c>
      <c r="G310" s="23"/>
      <c r="H310" s="23"/>
      <c r="I310" s="110"/>
      <c r="J310" s="111" t="s">
        <v>7</v>
      </c>
      <c r="K310" s="112"/>
      <c r="L310" s="113"/>
      <c r="M310" s="7"/>
      <c r="N310" s="14" t="s">
        <v>8</v>
      </c>
      <c r="O310" s="15"/>
      <c r="P310" s="102"/>
    </row>
    <row r="311" spans="1:16" x14ac:dyDescent="0.25">
      <c r="A311" s="1"/>
      <c r="B311" s="6"/>
      <c r="C311" s="28" t="s">
        <v>9</v>
      </c>
      <c r="D311" s="7"/>
      <c r="E311" s="7"/>
      <c r="F311" s="7"/>
      <c r="G311" s="7"/>
      <c r="H311" s="7"/>
      <c r="I311" s="7"/>
      <c r="J311" s="114">
        <v>44749</v>
      </c>
      <c r="K311" s="30"/>
      <c r="L311" s="31"/>
      <c r="M311" s="7"/>
      <c r="N311" s="32" t="s">
        <v>10</v>
      </c>
      <c r="O311" s="109"/>
      <c r="P311" s="102"/>
    </row>
    <row r="312" spans="1:16" x14ac:dyDescent="0.25">
      <c r="A312" s="1"/>
      <c r="B312" s="6"/>
      <c r="C312" s="28" t="s">
        <v>11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102"/>
    </row>
    <row r="313" spans="1:16" x14ac:dyDescent="0.25">
      <c r="A313" s="1"/>
      <c r="B313" s="6"/>
      <c r="C313" s="34" t="s">
        <v>12</v>
      </c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102"/>
    </row>
    <row r="314" spans="1:16" x14ac:dyDescent="0.25">
      <c r="A314" s="1"/>
      <c r="B314" s="6"/>
      <c r="C314" s="19"/>
      <c r="D314" s="115"/>
      <c r="E314" s="115"/>
      <c r="F314" s="115"/>
      <c r="G314" s="115"/>
      <c r="H314" s="115"/>
      <c r="I314" s="20"/>
      <c r="J314" s="7"/>
      <c r="K314" s="14" t="s">
        <v>14</v>
      </c>
      <c r="L314" s="38"/>
      <c r="M314" s="38"/>
      <c r="N314" s="38"/>
      <c r="O314" s="15"/>
      <c r="P314" s="102"/>
    </row>
    <row r="315" spans="1:16" x14ac:dyDescent="0.25">
      <c r="A315" s="1"/>
      <c r="B315" s="39"/>
      <c r="C315" s="116" t="s">
        <v>15</v>
      </c>
      <c r="D315" s="117"/>
      <c r="E315" s="118"/>
      <c r="F315" s="116" t="s">
        <v>16</v>
      </c>
      <c r="G315" s="118"/>
      <c r="H315" s="116" t="s">
        <v>17</v>
      </c>
      <c r="I315" s="118"/>
      <c r="J315" s="7"/>
      <c r="K315" s="119">
        <v>19107010440180</v>
      </c>
      <c r="L315" s="120"/>
      <c r="M315" s="120"/>
      <c r="N315" s="120"/>
      <c r="O315" s="121"/>
      <c r="P315" s="102"/>
    </row>
    <row r="316" spans="1:16" x14ac:dyDescent="0.25">
      <c r="A316" s="1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102"/>
    </row>
    <row r="317" spans="1:16" x14ac:dyDescent="0.25">
      <c r="A317" s="1"/>
      <c r="B317" s="6"/>
      <c r="C317" s="3"/>
      <c r="D317" s="4"/>
      <c r="E317" s="4"/>
      <c r="F317" s="4"/>
      <c r="G317" s="4"/>
      <c r="H317" s="4"/>
      <c r="I317" s="4"/>
      <c r="J317" s="5"/>
      <c r="K317" s="7"/>
      <c r="L317" s="3"/>
      <c r="M317" s="4"/>
      <c r="N317" s="4"/>
      <c r="O317" s="5"/>
      <c r="P317" s="102"/>
    </row>
    <row r="318" spans="1:16" x14ac:dyDescent="0.25">
      <c r="A318" s="1"/>
      <c r="B318" s="6"/>
      <c r="C318" s="88"/>
      <c r="D318" s="89"/>
      <c r="E318" s="89"/>
      <c r="F318" s="45" t="s">
        <v>51</v>
      </c>
      <c r="G318" s="45"/>
      <c r="H318" s="89"/>
      <c r="I318" s="89"/>
      <c r="J318" s="90"/>
      <c r="K318" s="7"/>
      <c r="L318" s="44" t="s">
        <v>58</v>
      </c>
      <c r="M318" s="122"/>
      <c r="N318" s="123" t="s">
        <v>59</v>
      </c>
      <c r="O318" s="48" t="s">
        <v>45</v>
      </c>
      <c r="P318" s="102"/>
    </row>
    <row r="319" spans="1:16" x14ac:dyDescent="0.25">
      <c r="A319" s="1"/>
      <c r="B319" s="6"/>
      <c r="C319" s="116" t="s">
        <v>21</v>
      </c>
      <c r="D319" s="117"/>
      <c r="E319" s="117"/>
      <c r="F319" s="117"/>
      <c r="G319" s="117"/>
      <c r="H319" s="117"/>
      <c r="I319" s="117"/>
      <c r="J319" s="118"/>
      <c r="K319" s="7"/>
      <c r="L319" s="116" t="s">
        <v>22</v>
      </c>
      <c r="M319" s="117"/>
      <c r="N319" s="49" t="s">
        <v>23</v>
      </c>
      <c r="O319" s="50" t="s">
        <v>24</v>
      </c>
      <c r="P319" s="102"/>
    </row>
    <row r="320" spans="1:16" x14ac:dyDescent="0.25">
      <c r="A320" s="1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102"/>
    </row>
    <row r="321" spans="1:17" x14ac:dyDescent="0.25">
      <c r="A321" s="1"/>
      <c r="B321" s="6"/>
      <c r="C321" s="52" t="s">
        <v>26</v>
      </c>
      <c r="D321" s="53"/>
      <c r="E321" s="54">
        <v>150</v>
      </c>
      <c r="F321" s="55" t="s">
        <v>60</v>
      </c>
      <c r="G321" s="56"/>
      <c r="H321" s="56"/>
      <c r="I321" s="56"/>
      <c r="J321" s="56"/>
      <c r="K321" s="56"/>
      <c r="L321" s="56"/>
      <c r="M321" s="56"/>
      <c r="N321" s="56"/>
      <c r="O321" s="57"/>
      <c r="P321" s="102"/>
    </row>
    <row r="322" spans="1:17" x14ac:dyDescent="0.25">
      <c r="A322" s="1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102"/>
      <c r="Q322" s="130"/>
    </row>
    <row r="323" spans="1:17" x14ac:dyDescent="0.25">
      <c r="A323" s="1"/>
      <c r="B323" s="6"/>
      <c r="C323" s="7"/>
      <c r="D323" s="58" t="s">
        <v>28</v>
      </c>
      <c r="E323" s="58" t="s">
        <v>29</v>
      </c>
      <c r="F323" s="59" t="s">
        <v>30</v>
      </c>
      <c r="G323" s="59"/>
      <c r="H323" s="59"/>
      <c r="I323" s="59"/>
      <c r="J323" s="59" t="s">
        <v>31</v>
      </c>
      <c r="K323" s="59"/>
      <c r="L323" s="59"/>
      <c r="M323" s="60"/>
      <c r="N323" s="59" t="s">
        <v>32</v>
      </c>
      <c r="O323" s="59"/>
      <c r="P323" s="102"/>
    </row>
    <row r="324" spans="1:17" x14ac:dyDescent="0.25">
      <c r="A324" s="1"/>
      <c r="B324" s="6"/>
      <c r="C324" s="7"/>
      <c r="D324" s="61">
        <v>1</v>
      </c>
      <c r="E324" s="61" t="s">
        <v>33</v>
      </c>
      <c r="F324" s="62" t="s">
        <v>34</v>
      </c>
      <c r="G324" s="63"/>
      <c r="H324" s="63"/>
      <c r="I324" s="64"/>
      <c r="J324" s="65">
        <v>150</v>
      </c>
      <c r="K324" s="66"/>
      <c r="L324" s="67"/>
      <c r="M324" s="68"/>
      <c r="N324" s="69">
        <f>+D324*J324</f>
        <v>150</v>
      </c>
      <c r="O324" s="70"/>
      <c r="P324" s="102"/>
    </row>
    <row r="325" spans="1:17" x14ac:dyDescent="0.25">
      <c r="A325" s="1"/>
      <c r="B325" s="6"/>
      <c r="C325" s="7"/>
      <c r="D325" s="71"/>
      <c r="E325" s="71"/>
      <c r="F325" s="72" t="s">
        <v>61</v>
      </c>
      <c r="G325" s="73"/>
      <c r="H325" s="73"/>
      <c r="I325" s="74"/>
      <c r="J325" s="75"/>
      <c r="K325" s="76"/>
      <c r="L325" s="77"/>
      <c r="M325" s="78"/>
      <c r="N325" s="79">
        <f>+D325*J325</f>
        <v>0</v>
      </c>
      <c r="O325" s="80"/>
      <c r="P325" s="102"/>
    </row>
    <row r="326" spans="1:17" x14ac:dyDescent="0.25">
      <c r="A326" s="1"/>
      <c r="B326" s="6"/>
      <c r="C326" s="7"/>
      <c r="D326" s="71"/>
      <c r="E326" s="71"/>
      <c r="F326" s="131" t="s">
        <v>62</v>
      </c>
      <c r="G326" s="73"/>
      <c r="H326" s="73"/>
      <c r="I326" s="74"/>
      <c r="J326" s="75"/>
      <c r="K326" s="76"/>
      <c r="L326" s="77"/>
      <c r="M326" s="78"/>
      <c r="N326" s="79">
        <f>+D326*J326</f>
        <v>0</v>
      </c>
      <c r="O326" s="80"/>
      <c r="P326" s="102"/>
    </row>
    <row r="327" spans="1:17" x14ac:dyDescent="0.25">
      <c r="A327" s="1"/>
      <c r="B327" s="6"/>
      <c r="C327" s="7"/>
      <c r="D327" s="81"/>
      <c r="E327" s="81"/>
      <c r="F327" s="78"/>
      <c r="G327" s="78"/>
      <c r="H327" s="78"/>
      <c r="I327" s="78"/>
      <c r="J327" s="82"/>
      <c r="K327" s="83" t="s">
        <v>36</v>
      </c>
      <c r="L327" s="82"/>
      <c r="M327" s="78"/>
      <c r="N327" s="84">
        <f>SUM(N324:O326)</f>
        <v>150</v>
      </c>
      <c r="O327" s="84"/>
      <c r="P327" s="102"/>
    </row>
    <row r="328" spans="1:17" x14ac:dyDescent="0.25">
      <c r="A328" s="1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102"/>
    </row>
    <row r="329" spans="1:17" x14ac:dyDescent="0.25">
      <c r="A329" s="1"/>
      <c r="B329" s="6"/>
      <c r="C329" s="7"/>
      <c r="D329" s="85" t="s">
        <v>37</v>
      </c>
      <c r="E329" s="86"/>
      <c r="F329" s="87"/>
      <c r="G329" s="85" t="s">
        <v>38</v>
      </c>
      <c r="H329" s="86"/>
      <c r="I329" s="87"/>
      <c r="J329" s="7"/>
      <c r="K329" s="7"/>
      <c r="L329" s="7"/>
      <c r="M329" s="7"/>
      <c r="N329" s="7"/>
      <c r="O329" s="7"/>
      <c r="P329" s="102"/>
    </row>
    <row r="330" spans="1:17" x14ac:dyDescent="0.25">
      <c r="A330" s="1"/>
      <c r="B330" s="6"/>
      <c r="C330" s="7"/>
      <c r="D330" s="6"/>
      <c r="E330" s="7"/>
      <c r="F330" s="16"/>
      <c r="G330" s="6"/>
      <c r="H330" s="7"/>
      <c r="I330" s="16"/>
      <c r="J330" s="7"/>
      <c r="K330" s="7"/>
      <c r="L330" s="7"/>
      <c r="M330" s="7"/>
      <c r="N330" s="7"/>
      <c r="O330" s="7"/>
      <c r="P330" s="102"/>
    </row>
    <row r="331" spans="1:17" x14ac:dyDescent="0.25">
      <c r="A331" s="1"/>
      <c r="B331" s="6"/>
      <c r="C331" s="7"/>
      <c r="D331" s="88"/>
      <c r="E331" s="89"/>
      <c r="F331" s="90"/>
      <c r="G331" s="6"/>
      <c r="H331" s="7"/>
      <c r="I331" s="16"/>
      <c r="J331" s="7"/>
      <c r="K331" s="7"/>
      <c r="L331" s="7"/>
      <c r="M331" s="7"/>
      <c r="N331" s="7"/>
      <c r="O331" s="7"/>
      <c r="P331" s="102"/>
    </row>
    <row r="332" spans="1:17" x14ac:dyDescent="0.25">
      <c r="A332" s="1"/>
      <c r="B332" s="6"/>
      <c r="C332" s="7"/>
      <c r="D332" s="3"/>
      <c r="E332" s="4"/>
      <c r="F332" s="5"/>
      <c r="G332" s="6"/>
      <c r="H332" s="7"/>
      <c r="I332" s="16"/>
      <c r="J332" s="7"/>
      <c r="K332" s="7"/>
      <c r="L332" s="7"/>
      <c r="M332" s="7"/>
      <c r="N332" s="7"/>
      <c r="O332" s="7"/>
      <c r="P332" s="102"/>
    </row>
    <row r="333" spans="1:17" x14ac:dyDescent="0.25">
      <c r="A333" s="1"/>
      <c r="B333" s="6"/>
      <c r="C333" s="7"/>
      <c r="D333" s="91" t="s">
        <v>56</v>
      </c>
      <c r="E333" s="92"/>
      <c r="F333" s="93"/>
      <c r="G333" s="6"/>
      <c r="H333" s="7"/>
      <c r="I333" s="16"/>
      <c r="J333" s="7"/>
      <c r="K333" s="7"/>
      <c r="L333" s="7"/>
      <c r="M333" s="7"/>
      <c r="N333" s="7"/>
      <c r="O333" s="7"/>
      <c r="P333" s="102"/>
    </row>
    <row r="334" spans="1:17" x14ac:dyDescent="0.25">
      <c r="A334" s="1"/>
      <c r="B334" s="6"/>
      <c r="C334" s="7"/>
      <c r="D334" s="88"/>
      <c r="E334" s="89"/>
      <c r="F334" s="90"/>
      <c r="G334" s="88"/>
      <c r="H334" s="89"/>
      <c r="I334" s="90"/>
      <c r="J334" s="7"/>
      <c r="K334" s="7"/>
      <c r="L334" s="7"/>
      <c r="M334" s="7"/>
      <c r="N334" s="7"/>
      <c r="O334" s="7"/>
      <c r="P334" s="102"/>
    </row>
    <row r="335" spans="1:17" x14ac:dyDescent="0.25">
      <c r="A335" s="1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102"/>
    </row>
    <row r="336" spans="1:17" x14ac:dyDescent="0.25">
      <c r="A336" s="1"/>
      <c r="B336" s="88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127"/>
      <c r="Q336" s="2" t="s">
        <v>63</v>
      </c>
    </row>
    <row r="337" spans="1:16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6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6" x14ac:dyDescent="0.25">
      <c r="A339" s="1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101"/>
    </row>
    <row r="340" spans="1:16" x14ac:dyDescent="0.25">
      <c r="A340" s="1"/>
      <c r="B340" s="6"/>
      <c r="C340" s="7"/>
      <c r="D340" s="7"/>
      <c r="E340" s="7"/>
      <c r="F340" s="8" t="s">
        <v>0</v>
      </c>
      <c r="G340" s="8"/>
      <c r="H340" s="8"/>
      <c r="I340" s="9"/>
      <c r="J340" s="10" t="s">
        <v>1</v>
      </c>
      <c r="K340" s="11"/>
      <c r="L340" s="12"/>
      <c r="M340" s="13"/>
      <c r="N340" s="14" t="s">
        <v>2</v>
      </c>
      <c r="O340" s="15"/>
      <c r="P340" s="102"/>
    </row>
    <row r="341" spans="1:16" x14ac:dyDescent="0.25">
      <c r="A341" s="1"/>
      <c r="B341" s="6"/>
      <c r="C341" s="7"/>
      <c r="D341" s="7"/>
      <c r="E341" s="103" t="s">
        <v>48</v>
      </c>
      <c r="F341" s="103"/>
      <c r="G341" s="103"/>
      <c r="H341" s="103"/>
      <c r="I341" s="104"/>
      <c r="J341" s="105">
        <v>610</v>
      </c>
      <c r="K341" s="106"/>
      <c r="L341" s="107"/>
      <c r="M341" s="13"/>
      <c r="N341" s="128" t="s">
        <v>72</v>
      </c>
      <c r="O341" s="129"/>
      <c r="P341" s="102"/>
    </row>
    <row r="342" spans="1:16" ht="18" x14ac:dyDescent="0.25">
      <c r="A342" s="1"/>
      <c r="B342" s="6"/>
      <c r="C342" s="7"/>
      <c r="D342" s="7"/>
      <c r="E342" s="7"/>
      <c r="F342" s="21" t="s">
        <v>5</v>
      </c>
      <c r="G342" s="21"/>
      <c r="H342" s="21"/>
      <c r="I342" s="21"/>
      <c r="J342" s="7"/>
      <c r="K342" s="7"/>
      <c r="L342" s="7"/>
      <c r="M342" s="7"/>
      <c r="N342" s="7"/>
      <c r="O342" s="7"/>
      <c r="P342" s="102"/>
    </row>
    <row r="343" spans="1:16" x14ac:dyDescent="0.25">
      <c r="A343" s="1"/>
      <c r="B343" s="6"/>
      <c r="C343" s="7"/>
      <c r="D343" s="7"/>
      <c r="E343" s="7"/>
      <c r="F343" s="23" t="s">
        <v>18</v>
      </c>
      <c r="G343" s="23"/>
      <c r="H343" s="23"/>
      <c r="I343" s="110"/>
      <c r="J343" s="111" t="s">
        <v>7</v>
      </c>
      <c r="K343" s="112"/>
      <c r="L343" s="113"/>
      <c r="M343" s="7"/>
      <c r="N343" s="14" t="s">
        <v>8</v>
      </c>
      <c r="O343" s="15"/>
      <c r="P343" s="102"/>
    </row>
    <row r="344" spans="1:16" x14ac:dyDescent="0.25">
      <c r="A344" s="1"/>
      <c r="B344" s="6"/>
      <c r="C344" s="28" t="s">
        <v>9</v>
      </c>
      <c r="D344" s="7"/>
      <c r="E344" s="7"/>
      <c r="F344" s="7"/>
      <c r="G344" s="7"/>
      <c r="H344" s="7"/>
      <c r="I344" s="7"/>
      <c r="J344" s="114">
        <v>44749</v>
      </c>
      <c r="K344" s="30"/>
      <c r="L344" s="31"/>
      <c r="M344" s="7"/>
      <c r="N344" s="32" t="s">
        <v>10</v>
      </c>
      <c r="O344" s="109"/>
      <c r="P344" s="102"/>
    </row>
    <row r="345" spans="1:16" x14ac:dyDescent="0.25">
      <c r="A345" s="1"/>
      <c r="B345" s="6"/>
      <c r="C345" s="28" t="s">
        <v>11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102"/>
    </row>
    <row r="346" spans="1:16" x14ac:dyDescent="0.25">
      <c r="A346" s="1"/>
      <c r="B346" s="6"/>
      <c r="C346" s="34" t="s">
        <v>12</v>
      </c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102"/>
    </row>
    <row r="347" spans="1:16" x14ac:dyDescent="0.25">
      <c r="A347" s="1"/>
      <c r="B347" s="6"/>
      <c r="C347" s="19"/>
      <c r="D347" s="115"/>
      <c r="E347" s="115"/>
      <c r="F347" s="115"/>
      <c r="G347" s="115"/>
      <c r="H347" s="115"/>
      <c r="I347" s="20"/>
      <c r="J347" s="7"/>
      <c r="K347" s="14" t="s">
        <v>14</v>
      </c>
      <c r="L347" s="38"/>
      <c r="M347" s="38"/>
      <c r="N347" s="38"/>
      <c r="O347" s="15"/>
      <c r="P347" s="102"/>
    </row>
    <row r="348" spans="1:16" x14ac:dyDescent="0.25">
      <c r="A348" s="1"/>
      <c r="B348" s="39"/>
      <c r="C348" s="116" t="s">
        <v>15</v>
      </c>
      <c r="D348" s="117"/>
      <c r="E348" s="118"/>
      <c r="F348" s="116" t="s">
        <v>16</v>
      </c>
      <c r="G348" s="118"/>
      <c r="H348" s="116" t="s">
        <v>17</v>
      </c>
      <c r="I348" s="118"/>
      <c r="J348" s="7"/>
      <c r="K348" s="119">
        <v>19107010440174</v>
      </c>
      <c r="L348" s="120"/>
      <c r="M348" s="120"/>
      <c r="N348" s="120"/>
      <c r="O348" s="121"/>
      <c r="P348" s="102"/>
    </row>
    <row r="349" spans="1:16" x14ac:dyDescent="0.25">
      <c r="A349" s="1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102"/>
    </row>
    <row r="350" spans="1:16" x14ac:dyDescent="0.25">
      <c r="A350" s="1"/>
      <c r="B350" s="6"/>
      <c r="C350" s="3"/>
      <c r="D350" s="4"/>
      <c r="E350" s="4"/>
      <c r="F350" s="4"/>
      <c r="G350" s="4"/>
      <c r="H350" s="4"/>
      <c r="I350" s="4"/>
      <c r="J350" s="5"/>
      <c r="K350" s="7"/>
      <c r="L350" s="3"/>
      <c r="M350" s="4"/>
      <c r="N350" s="4"/>
      <c r="O350" s="5"/>
      <c r="P350" s="102"/>
    </row>
    <row r="351" spans="1:16" x14ac:dyDescent="0.25">
      <c r="A351" s="1"/>
      <c r="B351" s="6"/>
      <c r="C351" s="88"/>
      <c r="D351" s="89"/>
      <c r="E351" s="89"/>
      <c r="F351" s="45" t="s">
        <v>51</v>
      </c>
      <c r="G351" s="45"/>
      <c r="H351" s="89"/>
      <c r="I351" s="89"/>
      <c r="J351" s="90"/>
      <c r="K351" s="7"/>
      <c r="L351" s="44" t="s">
        <v>44</v>
      </c>
      <c r="M351" s="122"/>
      <c r="N351" s="123" t="s">
        <v>65</v>
      </c>
      <c r="O351" s="48" t="s">
        <v>45</v>
      </c>
      <c r="P351" s="102"/>
    </row>
    <row r="352" spans="1:16" x14ac:dyDescent="0.25">
      <c r="A352" s="1"/>
      <c r="B352" s="6"/>
      <c r="C352" s="116" t="s">
        <v>21</v>
      </c>
      <c r="D352" s="117"/>
      <c r="E352" s="117"/>
      <c r="F352" s="117"/>
      <c r="G352" s="117"/>
      <c r="H352" s="117"/>
      <c r="I352" s="117"/>
      <c r="J352" s="118"/>
      <c r="K352" s="7"/>
      <c r="L352" s="116" t="s">
        <v>22</v>
      </c>
      <c r="M352" s="117"/>
      <c r="N352" s="49" t="s">
        <v>23</v>
      </c>
      <c r="O352" s="50" t="s">
        <v>24</v>
      </c>
      <c r="P352" s="102"/>
    </row>
    <row r="353" spans="1:16" x14ac:dyDescent="0.25">
      <c r="A353" s="1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102"/>
    </row>
    <row r="354" spans="1:16" x14ac:dyDescent="0.25">
      <c r="A354" s="1"/>
      <c r="B354" s="6"/>
      <c r="C354" s="52" t="s">
        <v>26</v>
      </c>
      <c r="D354" s="53"/>
      <c r="E354" s="54">
        <v>150</v>
      </c>
      <c r="F354" s="55" t="s">
        <v>60</v>
      </c>
      <c r="G354" s="56"/>
      <c r="H354" s="56"/>
      <c r="I354" s="56"/>
      <c r="J354" s="56"/>
      <c r="K354" s="56"/>
      <c r="L354" s="56"/>
      <c r="M354" s="56"/>
      <c r="N354" s="56"/>
      <c r="O354" s="57"/>
      <c r="P354" s="102"/>
    </row>
    <row r="355" spans="1:16" x14ac:dyDescent="0.25">
      <c r="A355" s="1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102"/>
    </row>
    <row r="356" spans="1:16" x14ac:dyDescent="0.25">
      <c r="A356" s="1"/>
      <c r="B356" s="6"/>
      <c r="C356" s="7"/>
      <c r="D356" s="58" t="s">
        <v>28</v>
      </c>
      <c r="E356" s="58" t="s">
        <v>29</v>
      </c>
      <c r="F356" s="59" t="s">
        <v>30</v>
      </c>
      <c r="G356" s="59"/>
      <c r="H356" s="59"/>
      <c r="I356" s="59"/>
      <c r="J356" s="59" t="s">
        <v>31</v>
      </c>
      <c r="K356" s="59"/>
      <c r="L356" s="59"/>
      <c r="M356" s="60"/>
      <c r="N356" s="59" t="s">
        <v>32</v>
      </c>
      <c r="O356" s="59"/>
      <c r="P356" s="102"/>
    </row>
    <row r="357" spans="1:16" x14ac:dyDescent="0.25">
      <c r="A357" s="1"/>
      <c r="B357" s="6"/>
      <c r="C357" s="7"/>
      <c r="D357" s="61">
        <v>1</v>
      </c>
      <c r="E357" s="61" t="s">
        <v>33</v>
      </c>
      <c r="F357" s="62" t="s">
        <v>34</v>
      </c>
      <c r="G357" s="63"/>
      <c r="H357" s="63"/>
      <c r="I357" s="64"/>
      <c r="J357" s="65">
        <v>150</v>
      </c>
      <c r="K357" s="66"/>
      <c r="L357" s="67"/>
      <c r="M357" s="68"/>
      <c r="N357" s="69">
        <f>+D357*J357</f>
        <v>150</v>
      </c>
      <c r="O357" s="70"/>
      <c r="P357" s="102"/>
    </row>
    <row r="358" spans="1:16" x14ac:dyDescent="0.25">
      <c r="A358" s="1"/>
      <c r="B358" s="6"/>
      <c r="C358" s="7"/>
      <c r="D358" s="71"/>
      <c r="E358" s="71"/>
      <c r="F358" s="72" t="s">
        <v>35</v>
      </c>
      <c r="G358" s="73"/>
      <c r="H358" s="73"/>
      <c r="I358" s="74"/>
      <c r="J358" s="75"/>
      <c r="K358" s="76"/>
      <c r="L358" s="77"/>
      <c r="M358" s="78"/>
      <c r="N358" s="79">
        <f>+D358*J358</f>
        <v>0</v>
      </c>
      <c r="O358" s="80"/>
      <c r="P358" s="102"/>
    </row>
    <row r="359" spans="1:16" x14ac:dyDescent="0.25">
      <c r="A359" s="1"/>
      <c r="B359" s="6"/>
      <c r="C359" s="7"/>
      <c r="D359" s="71"/>
      <c r="E359" s="71"/>
      <c r="F359" s="131" t="s">
        <v>62</v>
      </c>
      <c r="G359" s="73"/>
      <c r="H359" s="73"/>
      <c r="I359" s="74"/>
      <c r="J359" s="75"/>
      <c r="K359" s="76"/>
      <c r="L359" s="77"/>
      <c r="M359" s="78"/>
      <c r="N359" s="79">
        <f>+D359*J359</f>
        <v>0</v>
      </c>
      <c r="O359" s="80"/>
      <c r="P359" s="102"/>
    </row>
    <row r="360" spans="1:16" x14ac:dyDescent="0.25">
      <c r="A360" s="1"/>
      <c r="B360" s="6"/>
      <c r="C360" s="7"/>
      <c r="D360" s="81"/>
      <c r="E360" s="81"/>
      <c r="F360" s="78"/>
      <c r="G360" s="78"/>
      <c r="H360" s="78"/>
      <c r="I360" s="78"/>
      <c r="J360" s="82"/>
      <c r="K360" s="83" t="s">
        <v>36</v>
      </c>
      <c r="L360" s="82"/>
      <c r="M360" s="78"/>
      <c r="N360" s="84">
        <f>SUM(N357:O359)</f>
        <v>150</v>
      </c>
      <c r="O360" s="84"/>
      <c r="P360" s="102"/>
    </row>
    <row r="361" spans="1:16" x14ac:dyDescent="0.25">
      <c r="A361" s="1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102"/>
    </row>
    <row r="362" spans="1:16" x14ac:dyDescent="0.25">
      <c r="A362" s="1"/>
      <c r="B362" s="6"/>
      <c r="C362" s="7"/>
      <c r="D362" s="85" t="s">
        <v>37</v>
      </c>
      <c r="E362" s="86"/>
      <c r="F362" s="87"/>
      <c r="G362" s="85" t="s">
        <v>38</v>
      </c>
      <c r="H362" s="86"/>
      <c r="I362" s="87"/>
      <c r="J362" s="7"/>
      <c r="K362" s="7"/>
      <c r="L362" s="7"/>
      <c r="M362" s="7"/>
      <c r="N362" s="7"/>
      <c r="O362" s="7"/>
      <c r="P362" s="102"/>
    </row>
    <row r="363" spans="1:16" x14ac:dyDescent="0.25">
      <c r="A363" s="1"/>
      <c r="B363" s="6"/>
      <c r="C363" s="7"/>
      <c r="D363" s="6"/>
      <c r="E363" s="7"/>
      <c r="F363" s="16"/>
      <c r="G363" s="6"/>
      <c r="H363" s="7"/>
      <c r="I363" s="16"/>
      <c r="J363" s="7"/>
      <c r="K363" s="7"/>
      <c r="L363" s="7"/>
      <c r="M363" s="7"/>
      <c r="N363" s="7"/>
      <c r="O363" s="7"/>
      <c r="P363" s="102"/>
    </row>
    <row r="364" spans="1:16" x14ac:dyDescent="0.25">
      <c r="A364" s="1"/>
      <c r="B364" s="6"/>
      <c r="C364" s="7"/>
      <c r="D364" s="88"/>
      <c r="E364" s="89"/>
      <c r="F364" s="90"/>
      <c r="G364" s="6"/>
      <c r="H364" s="7"/>
      <c r="I364" s="16"/>
      <c r="J364" s="7"/>
      <c r="K364" s="7"/>
      <c r="L364" s="7"/>
      <c r="M364" s="7"/>
      <c r="N364" s="7"/>
      <c r="O364" s="7"/>
      <c r="P364" s="102"/>
    </row>
    <row r="365" spans="1:16" x14ac:dyDescent="0.25">
      <c r="A365" s="1"/>
      <c r="B365" s="6"/>
      <c r="C365" s="7"/>
      <c r="D365" s="3"/>
      <c r="E365" s="4"/>
      <c r="F365" s="5"/>
      <c r="G365" s="6"/>
      <c r="H365" s="7"/>
      <c r="I365" s="16"/>
      <c r="J365" s="7"/>
      <c r="K365" s="7"/>
      <c r="L365" s="7"/>
      <c r="M365" s="7"/>
      <c r="N365" s="7"/>
      <c r="O365" s="7"/>
      <c r="P365" s="102"/>
    </row>
    <row r="366" spans="1:16" x14ac:dyDescent="0.25">
      <c r="A366" s="1"/>
      <c r="B366" s="6"/>
      <c r="C366" s="7"/>
      <c r="D366" s="91" t="s">
        <v>56</v>
      </c>
      <c r="E366" s="92"/>
      <c r="F366" s="93"/>
      <c r="G366" s="6"/>
      <c r="H366" s="7"/>
      <c r="I366" s="16"/>
      <c r="J366" s="7"/>
      <c r="K366" s="7"/>
      <c r="L366" s="7"/>
      <c r="M366" s="7"/>
      <c r="N366" s="7"/>
      <c r="O366" s="7"/>
      <c r="P366" s="102"/>
    </row>
    <row r="367" spans="1:16" x14ac:dyDescent="0.25">
      <c r="A367" s="1"/>
      <c r="B367" s="6"/>
      <c r="C367" s="7"/>
      <c r="D367" s="88"/>
      <c r="E367" s="89"/>
      <c r="F367" s="90"/>
      <c r="G367" s="88"/>
      <c r="H367" s="89"/>
      <c r="I367" s="90"/>
      <c r="J367" s="7"/>
      <c r="K367" s="7"/>
      <c r="L367" s="7"/>
      <c r="M367" s="7"/>
      <c r="N367" s="7"/>
      <c r="O367" s="7"/>
      <c r="P367" s="102"/>
    </row>
    <row r="368" spans="1:16" x14ac:dyDescent="0.25">
      <c r="A368" s="1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102"/>
    </row>
    <row r="369" spans="1:16" x14ac:dyDescent="0.25">
      <c r="A369" s="1"/>
      <c r="B369" s="88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127"/>
    </row>
    <row r="370" spans="1:16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6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6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6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6" x14ac:dyDescent="0.25">
      <c r="A374" s="1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101"/>
    </row>
    <row r="375" spans="1:16" x14ac:dyDescent="0.25">
      <c r="A375" s="1"/>
      <c r="B375" s="6"/>
      <c r="C375" s="7"/>
      <c r="D375" s="7"/>
      <c r="E375" s="7"/>
      <c r="F375" s="8" t="s">
        <v>0</v>
      </c>
      <c r="G375" s="8"/>
      <c r="H375" s="8"/>
      <c r="I375" s="9"/>
      <c r="J375" s="10" t="s">
        <v>1</v>
      </c>
      <c r="K375" s="11"/>
      <c r="L375" s="12"/>
      <c r="M375" s="13"/>
      <c r="N375" s="14" t="s">
        <v>2</v>
      </c>
      <c r="O375" s="15"/>
      <c r="P375" s="102"/>
    </row>
    <row r="376" spans="1:16" x14ac:dyDescent="0.25">
      <c r="A376" s="1"/>
      <c r="B376" s="6"/>
      <c r="C376" s="7"/>
      <c r="D376" s="7"/>
      <c r="E376" s="103" t="s">
        <v>48</v>
      </c>
      <c r="F376" s="103"/>
      <c r="G376" s="103"/>
      <c r="H376" s="103"/>
      <c r="I376" s="104"/>
      <c r="J376" s="105">
        <v>610</v>
      </c>
      <c r="K376" s="106"/>
      <c r="L376" s="107"/>
      <c r="M376" s="13"/>
      <c r="N376" s="108" t="s">
        <v>73</v>
      </c>
      <c r="O376" s="109"/>
      <c r="P376" s="102"/>
    </row>
    <row r="377" spans="1:16" ht="18" x14ac:dyDescent="0.25">
      <c r="A377" s="1"/>
      <c r="B377" s="6"/>
      <c r="C377" s="7"/>
      <c r="D377" s="7"/>
      <c r="E377" s="7"/>
      <c r="F377" s="21" t="s">
        <v>5</v>
      </c>
      <c r="G377" s="21"/>
      <c r="H377" s="21"/>
      <c r="I377" s="21"/>
      <c r="J377" s="7"/>
      <c r="K377" s="7"/>
      <c r="L377" s="7"/>
      <c r="M377" s="7"/>
      <c r="N377" s="7"/>
      <c r="O377" s="7"/>
      <c r="P377" s="102"/>
    </row>
    <row r="378" spans="1:16" x14ac:dyDescent="0.25">
      <c r="A378" s="1"/>
      <c r="B378" s="6"/>
      <c r="C378" s="7"/>
      <c r="D378" s="7"/>
      <c r="E378" s="7"/>
      <c r="F378" s="23" t="s">
        <v>6</v>
      </c>
      <c r="G378" s="23"/>
      <c r="H378" s="23"/>
      <c r="I378" s="110"/>
      <c r="J378" s="111" t="s">
        <v>7</v>
      </c>
      <c r="K378" s="112"/>
      <c r="L378" s="113"/>
      <c r="M378" s="7"/>
      <c r="N378" s="14" t="s">
        <v>8</v>
      </c>
      <c r="O378" s="15"/>
      <c r="P378" s="102"/>
    </row>
    <row r="379" spans="1:16" x14ac:dyDescent="0.25">
      <c r="A379" s="1"/>
      <c r="B379" s="6"/>
      <c r="C379" s="28" t="s">
        <v>9</v>
      </c>
      <c r="D379" s="7"/>
      <c r="E379" s="7"/>
      <c r="F379" s="7"/>
      <c r="G379" s="7"/>
      <c r="H379" s="7"/>
      <c r="I379" s="7"/>
      <c r="J379" s="114">
        <v>44749</v>
      </c>
      <c r="K379" s="30"/>
      <c r="L379" s="31"/>
      <c r="M379" s="7"/>
      <c r="N379" s="32" t="s">
        <v>10</v>
      </c>
      <c r="O379" s="109"/>
      <c r="P379" s="102"/>
    </row>
    <row r="380" spans="1:16" x14ac:dyDescent="0.25">
      <c r="A380" s="1"/>
      <c r="B380" s="6"/>
      <c r="C380" s="28" t="s">
        <v>11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102"/>
    </row>
    <row r="381" spans="1:16" x14ac:dyDescent="0.25">
      <c r="A381" s="1"/>
      <c r="B381" s="6"/>
      <c r="C381" s="34" t="s">
        <v>12</v>
      </c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102"/>
    </row>
    <row r="382" spans="1:16" x14ac:dyDescent="0.25">
      <c r="A382" s="1"/>
      <c r="B382" s="6"/>
      <c r="C382" s="19"/>
      <c r="D382" s="115"/>
      <c r="E382" s="115"/>
      <c r="F382" s="115"/>
      <c r="G382" s="115"/>
      <c r="H382" s="115"/>
      <c r="I382" s="20"/>
      <c r="J382" s="7"/>
      <c r="K382" s="14" t="s">
        <v>14</v>
      </c>
      <c r="L382" s="38"/>
      <c r="M382" s="38"/>
      <c r="N382" s="38"/>
      <c r="O382" s="15"/>
      <c r="P382" s="102"/>
    </row>
    <row r="383" spans="1:16" x14ac:dyDescent="0.25">
      <c r="A383" s="1"/>
      <c r="B383" s="39"/>
      <c r="C383" s="116" t="s">
        <v>15</v>
      </c>
      <c r="D383" s="117"/>
      <c r="E383" s="118"/>
      <c r="F383" s="116" t="s">
        <v>16</v>
      </c>
      <c r="G383" s="118"/>
      <c r="H383" s="116" t="s">
        <v>17</v>
      </c>
      <c r="I383" s="118"/>
      <c r="J383" s="7"/>
      <c r="K383" s="119">
        <v>20107010440092</v>
      </c>
      <c r="L383" s="120"/>
      <c r="M383" s="120"/>
      <c r="N383" s="120"/>
      <c r="O383" s="121"/>
      <c r="P383" s="102"/>
    </row>
    <row r="384" spans="1:16" x14ac:dyDescent="0.25">
      <c r="B384" s="6"/>
      <c r="C384" s="7"/>
      <c r="D384" s="7"/>
      <c r="E384" s="7"/>
      <c r="F384" s="7"/>
      <c r="G384" s="7"/>
      <c r="H384" s="7"/>
      <c r="I384" s="7"/>
      <c r="J384" s="7"/>
      <c r="K384" s="51"/>
      <c r="L384" s="7"/>
      <c r="M384" s="7"/>
      <c r="N384" s="7"/>
      <c r="O384" s="7"/>
      <c r="P384" s="102"/>
    </row>
    <row r="385" spans="1:16" x14ac:dyDescent="0.25">
      <c r="B385" s="6"/>
      <c r="C385" s="3"/>
      <c r="D385" s="4"/>
      <c r="E385" s="4"/>
      <c r="F385" s="4"/>
      <c r="G385" s="4"/>
      <c r="H385" s="4"/>
      <c r="I385" s="4"/>
      <c r="J385" s="5"/>
      <c r="K385" s="7"/>
      <c r="L385" s="3"/>
      <c r="M385" s="4"/>
      <c r="N385" s="4"/>
      <c r="O385" s="5"/>
      <c r="P385" s="102"/>
    </row>
    <row r="386" spans="1:16" x14ac:dyDescent="0.25">
      <c r="A386" s="1"/>
      <c r="B386" s="6"/>
      <c r="C386" s="88"/>
      <c r="D386" s="89"/>
      <c r="E386" s="89"/>
      <c r="F386" s="45" t="s">
        <v>51</v>
      </c>
      <c r="G386" s="45"/>
      <c r="H386" s="89"/>
      <c r="I386" s="89"/>
      <c r="J386" s="90"/>
      <c r="K386" s="7"/>
      <c r="L386" s="44" t="s">
        <v>66</v>
      </c>
      <c r="M386" s="122"/>
      <c r="N386" s="123" t="s">
        <v>67</v>
      </c>
      <c r="O386" s="48" t="s">
        <v>45</v>
      </c>
      <c r="P386" s="102"/>
    </row>
    <row r="387" spans="1:16" x14ac:dyDescent="0.25">
      <c r="A387" s="1"/>
      <c r="B387" s="6"/>
      <c r="C387" s="116" t="s">
        <v>21</v>
      </c>
      <c r="D387" s="117"/>
      <c r="E387" s="117"/>
      <c r="F387" s="117"/>
      <c r="G387" s="117"/>
      <c r="H387" s="117"/>
      <c r="I387" s="117"/>
      <c r="J387" s="118"/>
      <c r="K387" s="7"/>
      <c r="L387" s="116" t="s">
        <v>22</v>
      </c>
      <c r="M387" s="117"/>
      <c r="N387" s="49" t="s">
        <v>23</v>
      </c>
      <c r="O387" s="50" t="s">
        <v>24</v>
      </c>
      <c r="P387" s="102"/>
    </row>
    <row r="388" spans="1:16" x14ac:dyDescent="0.25">
      <c r="A388" s="1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102"/>
    </row>
    <row r="389" spans="1:16" x14ac:dyDescent="0.25">
      <c r="A389" s="1"/>
      <c r="B389" s="6"/>
      <c r="C389" s="52" t="s">
        <v>26</v>
      </c>
      <c r="D389" s="53"/>
      <c r="E389" s="54">
        <f>N395</f>
        <v>150</v>
      </c>
      <c r="F389" s="55" t="s">
        <v>54</v>
      </c>
      <c r="G389" s="56"/>
      <c r="H389" s="56"/>
      <c r="I389" s="56"/>
      <c r="J389" s="56"/>
      <c r="K389" s="56"/>
      <c r="L389" s="56"/>
      <c r="M389" s="56"/>
      <c r="N389" s="56"/>
      <c r="O389" s="57"/>
      <c r="P389" s="102"/>
    </row>
    <row r="390" spans="1:16" x14ac:dyDescent="0.25">
      <c r="A390" s="1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102"/>
    </row>
    <row r="391" spans="1:16" x14ac:dyDescent="0.25">
      <c r="A391" s="1"/>
      <c r="B391" s="6"/>
      <c r="C391" s="7"/>
      <c r="D391" s="58" t="s">
        <v>28</v>
      </c>
      <c r="E391" s="58" t="s">
        <v>29</v>
      </c>
      <c r="F391" s="59" t="s">
        <v>30</v>
      </c>
      <c r="G391" s="59"/>
      <c r="H391" s="59"/>
      <c r="I391" s="59"/>
      <c r="J391" s="59" t="s">
        <v>31</v>
      </c>
      <c r="K391" s="59"/>
      <c r="L391" s="59"/>
      <c r="M391" s="60"/>
      <c r="N391" s="59" t="s">
        <v>32</v>
      </c>
      <c r="O391" s="59"/>
      <c r="P391" s="102"/>
    </row>
    <row r="392" spans="1:16" x14ac:dyDescent="0.25">
      <c r="A392" s="1"/>
      <c r="B392" s="6"/>
      <c r="C392" s="7"/>
      <c r="D392" s="61">
        <v>1</v>
      </c>
      <c r="E392" s="61" t="s">
        <v>33</v>
      </c>
      <c r="F392" s="62" t="s">
        <v>34</v>
      </c>
      <c r="G392" s="63"/>
      <c r="H392" s="63"/>
      <c r="I392" s="64"/>
      <c r="J392" s="65">
        <v>150</v>
      </c>
      <c r="K392" s="66"/>
      <c r="L392" s="67"/>
      <c r="M392" s="68"/>
      <c r="N392" s="69">
        <f>+D392*J392</f>
        <v>150</v>
      </c>
      <c r="O392" s="70"/>
      <c r="P392" s="102"/>
    </row>
    <row r="393" spans="1:16" x14ac:dyDescent="0.25">
      <c r="A393" s="1"/>
      <c r="B393" s="6"/>
      <c r="C393" s="7"/>
      <c r="D393" s="71"/>
      <c r="E393" s="71"/>
      <c r="F393" s="72" t="s">
        <v>35</v>
      </c>
      <c r="G393" s="73"/>
      <c r="H393" s="73"/>
      <c r="I393" s="74"/>
      <c r="J393" s="75"/>
      <c r="K393" s="76"/>
      <c r="L393" s="77"/>
      <c r="M393" s="78"/>
      <c r="N393" s="79">
        <f>+D393*J393</f>
        <v>0</v>
      </c>
      <c r="O393" s="80"/>
      <c r="P393" s="102"/>
    </row>
    <row r="394" spans="1:16" x14ac:dyDescent="0.25">
      <c r="A394" s="1"/>
      <c r="B394" s="6"/>
      <c r="C394" s="7"/>
      <c r="D394" s="71"/>
      <c r="E394" s="71"/>
      <c r="F394" s="72"/>
      <c r="G394" s="73"/>
      <c r="H394" s="73"/>
      <c r="I394" s="74"/>
      <c r="J394" s="75"/>
      <c r="K394" s="76"/>
      <c r="L394" s="77"/>
      <c r="M394" s="78"/>
      <c r="N394" s="79">
        <f>+D394*J394</f>
        <v>0</v>
      </c>
      <c r="O394" s="80"/>
      <c r="P394" s="102"/>
    </row>
    <row r="395" spans="1:16" x14ac:dyDescent="0.25">
      <c r="A395" s="1"/>
      <c r="B395" s="6"/>
      <c r="C395" s="7"/>
      <c r="D395" s="81"/>
      <c r="E395" s="81"/>
      <c r="F395" s="78"/>
      <c r="G395" s="78"/>
      <c r="H395" s="78"/>
      <c r="I395" s="78"/>
      <c r="J395" s="82"/>
      <c r="K395" s="83" t="s">
        <v>36</v>
      </c>
      <c r="L395" s="82"/>
      <c r="M395" s="78"/>
      <c r="N395" s="84">
        <f>SUM(N392:O394)</f>
        <v>150</v>
      </c>
      <c r="O395" s="84"/>
      <c r="P395" s="102"/>
    </row>
    <row r="396" spans="1:16" x14ac:dyDescent="0.25">
      <c r="A396" s="1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102"/>
    </row>
    <row r="397" spans="1:16" x14ac:dyDescent="0.25">
      <c r="A397" s="1"/>
      <c r="B397" s="6"/>
      <c r="C397" s="7"/>
      <c r="D397" s="85" t="s">
        <v>37</v>
      </c>
      <c r="E397" s="86"/>
      <c r="F397" s="87"/>
      <c r="G397" s="85" t="s">
        <v>38</v>
      </c>
      <c r="H397" s="86"/>
      <c r="I397" s="87"/>
      <c r="J397" s="7"/>
      <c r="K397" s="7"/>
      <c r="L397" s="7"/>
      <c r="M397" s="7"/>
      <c r="N397" s="7"/>
      <c r="O397" s="7"/>
      <c r="P397" s="102"/>
    </row>
    <row r="398" spans="1:16" x14ac:dyDescent="0.25">
      <c r="A398" s="1"/>
      <c r="B398" s="6"/>
      <c r="C398" s="7"/>
      <c r="D398" s="6"/>
      <c r="E398" s="7"/>
      <c r="F398" s="16"/>
      <c r="G398" s="6"/>
      <c r="H398" s="7"/>
      <c r="I398" s="16"/>
      <c r="J398" s="7"/>
      <c r="K398" s="7"/>
      <c r="L398" s="7"/>
      <c r="M398" s="7"/>
      <c r="N398" s="7"/>
      <c r="O398" s="7"/>
      <c r="P398" s="102"/>
    </row>
    <row r="399" spans="1:16" x14ac:dyDescent="0.25">
      <c r="A399" s="1"/>
      <c r="B399" s="6"/>
      <c r="C399" s="7"/>
      <c r="D399" s="88"/>
      <c r="E399" s="89"/>
      <c r="F399" s="90"/>
      <c r="G399" s="6"/>
      <c r="H399" s="7"/>
      <c r="I399" s="16"/>
      <c r="J399" s="7"/>
      <c r="K399" s="7"/>
      <c r="L399" s="7"/>
      <c r="M399" s="7"/>
      <c r="N399" s="7"/>
      <c r="O399" s="7"/>
      <c r="P399" s="102"/>
    </row>
    <row r="400" spans="1:16" x14ac:dyDescent="0.25">
      <c r="A400" s="1"/>
      <c r="B400" s="6"/>
      <c r="C400" s="7"/>
      <c r="D400" s="3"/>
      <c r="E400" s="4"/>
      <c r="F400" s="5"/>
      <c r="G400" s="6"/>
      <c r="H400" s="7"/>
      <c r="I400" s="16"/>
      <c r="J400" s="7"/>
      <c r="K400" s="7"/>
      <c r="L400" s="7"/>
      <c r="M400" s="7"/>
      <c r="N400" s="7"/>
      <c r="O400" s="7"/>
      <c r="P400" s="102"/>
    </row>
    <row r="401" spans="1:16" x14ac:dyDescent="0.25">
      <c r="A401" s="1"/>
      <c r="B401" s="6"/>
      <c r="C401" s="7"/>
      <c r="D401" s="91" t="s">
        <v>68</v>
      </c>
      <c r="E401" s="92"/>
      <c r="F401" s="93"/>
      <c r="G401" s="6"/>
      <c r="H401" s="7"/>
      <c r="I401" s="16"/>
      <c r="J401" s="7"/>
      <c r="K401" s="7"/>
      <c r="L401" s="7"/>
      <c r="M401" s="7"/>
      <c r="N401" s="7"/>
      <c r="O401" s="7"/>
      <c r="P401" s="102"/>
    </row>
    <row r="402" spans="1:16" x14ac:dyDescent="0.25">
      <c r="A402" s="1"/>
      <c r="B402" s="6"/>
      <c r="C402" s="7"/>
      <c r="D402" s="88"/>
      <c r="E402" s="89"/>
      <c r="F402" s="90"/>
      <c r="G402" s="88"/>
      <c r="H402" s="89"/>
      <c r="I402" s="90"/>
      <c r="J402" s="7"/>
      <c r="K402" s="7"/>
      <c r="L402" s="7"/>
      <c r="M402" s="7"/>
      <c r="N402" s="7"/>
      <c r="O402" s="7"/>
      <c r="P402" s="102"/>
    </row>
    <row r="403" spans="1:16" x14ac:dyDescent="0.25">
      <c r="A403" s="1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102"/>
    </row>
    <row r="404" spans="1:16" x14ac:dyDescent="0.25">
      <c r="A404" s="1"/>
      <c r="B404" s="88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127"/>
    </row>
    <row r="405" spans="1:16" x14ac:dyDescent="0.25">
      <c r="A405" s="1"/>
    </row>
    <row r="406" spans="1:16" x14ac:dyDescent="0.25">
      <c r="A406" s="1"/>
    </row>
    <row r="407" spans="1:16" x14ac:dyDescent="0.25">
      <c r="A407" s="1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101"/>
    </row>
    <row r="408" spans="1:16" x14ac:dyDescent="0.25">
      <c r="A408" s="1"/>
      <c r="B408" s="6"/>
      <c r="C408" s="7"/>
      <c r="D408" s="7"/>
      <c r="E408" s="7"/>
      <c r="F408" s="8" t="s">
        <v>0</v>
      </c>
      <c r="G408" s="8"/>
      <c r="H408" s="8"/>
      <c r="I408" s="9"/>
      <c r="J408" s="10" t="s">
        <v>1</v>
      </c>
      <c r="K408" s="11"/>
      <c r="L408" s="12"/>
      <c r="M408" s="13"/>
      <c r="N408" s="14" t="s">
        <v>2</v>
      </c>
      <c r="O408" s="15"/>
      <c r="P408" s="102"/>
    </row>
    <row r="409" spans="1:16" x14ac:dyDescent="0.25">
      <c r="A409" s="1"/>
      <c r="B409" s="6"/>
      <c r="C409" s="7"/>
      <c r="D409" s="7"/>
      <c r="E409" s="103" t="s">
        <v>48</v>
      </c>
      <c r="F409" s="103"/>
      <c r="G409" s="103"/>
      <c r="H409" s="103"/>
      <c r="I409" s="104"/>
      <c r="J409" s="105">
        <v>610</v>
      </c>
      <c r="K409" s="106"/>
      <c r="L409" s="107"/>
      <c r="M409" s="13"/>
      <c r="N409" s="108" t="s">
        <v>74</v>
      </c>
      <c r="O409" s="109"/>
      <c r="P409" s="102"/>
    </row>
    <row r="410" spans="1:16" ht="18" x14ac:dyDescent="0.25">
      <c r="A410" s="1"/>
      <c r="B410" s="6"/>
      <c r="C410" s="7"/>
      <c r="D410" s="7"/>
      <c r="E410" s="7"/>
      <c r="F410" s="21" t="s">
        <v>5</v>
      </c>
      <c r="G410" s="21"/>
      <c r="H410" s="21"/>
      <c r="I410" s="21"/>
      <c r="J410" s="7"/>
      <c r="K410" s="7"/>
      <c r="L410" s="7"/>
      <c r="M410" s="7"/>
      <c r="N410" s="7"/>
      <c r="O410" s="7"/>
      <c r="P410" s="102"/>
    </row>
    <row r="411" spans="1:16" x14ac:dyDescent="0.25">
      <c r="A411" s="1"/>
      <c r="B411" s="6"/>
      <c r="C411" s="7"/>
      <c r="D411" s="7"/>
      <c r="E411" s="7"/>
      <c r="F411" s="23" t="s">
        <v>6</v>
      </c>
      <c r="G411" s="23"/>
      <c r="H411" s="23"/>
      <c r="I411" s="110"/>
      <c r="J411" s="111" t="s">
        <v>7</v>
      </c>
      <c r="K411" s="112"/>
      <c r="L411" s="113"/>
      <c r="M411" s="7"/>
      <c r="N411" s="14" t="s">
        <v>8</v>
      </c>
      <c r="O411" s="15"/>
      <c r="P411" s="102"/>
    </row>
    <row r="412" spans="1:16" x14ac:dyDescent="0.25">
      <c r="A412" s="1"/>
      <c r="B412" s="6"/>
      <c r="C412" s="28" t="s">
        <v>9</v>
      </c>
      <c r="D412" s="7"/>
      <c r="E412" s="7"/>
      <c r="F412" s="7"/>
      <c r="G412" s="7"/>
      <c r="H412" s="7"/>
      <c r="I412" s="7"/>
      <c r="J412" s="114">
        <v>44749</v>
      </c>
      <c r="K412" s="30"/>
      <c r="L412" s="31"/>
      <c r="M412" s="7"/>
      <c r="N412" s="32" t="s">
        <v>10</v>
      </c>
      <c r="O412" s="109"/>
      <c r="P412" s="102"/>
    </row>
    <row r="413" spans="1:16" x14ac:dyDescent="0.25">
      <c r="A413" s="1"/>
      <c r="B413" s="6"/>
      <c r="C413" s="28" t="s">
        <v>11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102"/>
    </row>
    <row r="414" spans="1:16" x14ac:dyDescent="0.25">
      <c r="A414" s="1"/>
      <c r="B414" s="6"/>
      <c r="C414" s="34" t="s">
        <v>12</v>
      </c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102"/>
    </row>
    <row r="415" spans="1:16" x14ac:dyDescent="0.25">
      <c r="A415" s="1"/>
      <c r="B415" s="6"/>
      <c r="C415" s="19"/>
      <c r="D415" s="115"/>
      <c r="E415" s="115"/>
      <c r="F415" s="115"/>
      <c r="G415" s="115"/>
      <c r="H415" s="115"/>
      <c r="I415" s="20"/>
      <c r="J415" s="7"/>
      <c r="K415" s="14" t="s">
        <v>14</v>
      </c>
      <c r="L415" s="38"/>
      <c r="M415" s="38"/>
      <c r="N415" s="38"/>
      <c r="O415" s="15"/>
      <c r="P415" s="102"/>
    </row>
    <row r="416" spans="1:16" x14ac:dyDescent="0.25">
      <c r="A416" s="1"/>
      <c r="B416" s="39"/>
      <c r="C416" s="116" t="s">
        <v>15</v>
      </c>
      <c r="D416" s="117"/>
      <c r="E416" s="118"/>
      <c r="F416" s="116" t="s">
        <v>16</v>
      </c>
      <c r="G416" s="118"/>
      <c r="H416" s="116" t="s">
        <v>17</v>
      </c>
      <c r="I416" s="118"/>
      <c r="J416" s="7"/>
      <c r="K416" s="119">
        <v>19107010440198</v>
      </c>
      <c r="L416" s="120"/>
      <c r="M416" s="120"/>
      <c r="N416" s="120"/>
      <c r="O416" s="121"/>
      <c r="P416" s="102"/>
    </row>
    <row r="417" spans="1:16" x14ac:dyDescent="0.25">
      <c r="A417" s="1"/>
      <c r="B417" s="6"/>
      <c r="C417" s="7"/>
      <c r="D417" s="7"/>
      <c r="E417" s="7"/>
      <c r="F417" s="7"/>
      <c r="G417" s="7"/>
      <c r="H417" s="7"/>
      <c r="I417" s="7"/>
      <c r="J417" s="7"/>
      <c r="K417" s="51"/>
      <c r="L417" s="7"/>
      <c r="M417" s="7"/>
      <c r="N417" s="7"/>
      <c r="O417" s="7"/>
      <c r="P417" s="102"/>
    </row>
    <row r="418" spans="1:16" x14ac:dyDescent="0.25">
      <c r="A418" s="1"/>
      <c r="B418" s="6"/>
      <c r="C418" s="3"/>
      <c r="D418" s="4"/>
      <c r="E418" s="4"/>
      <c r="F418" s="4"/>
      <c r="G418" s="4"/>
      <c r="H418" s="4"/>
      <c r="I418" s="4"/>
      <c r="J418" s="5"/>
      <c r="K418" s="7"/>
      <c r="L418" s="3"/>
      <c r="M418" s="4"/>
      <c r="N418" s="4"/>
      <c r="O418" s="5"/>
      <c r="P418" s="102"/>
    </row>
    <row r="419" spans="1:16" x14ac:dyDescent="0.25">
      <c r="A419" s="1"/>
      <c r="B419" s="6"/>
      <c r="C419" s="88"/>
      <c r="D419" s="89"/>
      <c r="E419" s="89"/>
      <c r="F419" s="45" t="s">
        <v>51</v>
      </c>
      <c r="G419" s="45"/>
      <c r="H419" s="89"/>
      <c r="I419" s="89"/>
      <c r="J419" s="90"/>
      <c r="K419" s="7"/>
      <c r="L419" s="44" t="s">
        <v>66</v>
      </c>
      <c r="M419" s="122"/>
      <c r="N419" s="123" t="s">
        <v>70</v>
      </c>
      <c r="O419" s="48" t="s">
        <v>45</v>
      </c>
      <c r="P419" s="102"/>
    </row>
    <row r="420" spans="1:16" x14ac:dyDescent="0.25">
      <c r="B420" s="6"/>
      <c r="C420" s="116" t="s">
        <v>21</v>
      </c>
      <c r="D420" s="117"/>
      <c r="E420" s="117"/>
      <c r="F420" s="117"/>
      <c r="G420" s="117"/>
      <c r="H420" s="117"/>
      <c r="I420" s="117"/>
      <c r="J420" s="118"/>
      <c r="K420" s="7"/>
      <c r="L420" s="116" t="s">
        <v>22</v>
      </c>
      <c r="M420" s="117"/>
      <c r="N420" s="49" t="s">
        <v>23</v>
      </c>
      <c r="O420" s="50" t="s">
        <v>24</v>
      </c>
      <c r="P420" s="102"/>
    </row>
    <row r="421" spans="1:16" x14ac:dyDescent="0.25">
      <c r="A421" s="1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102"/>
    </row>
    <row r="422" spans="1:16" x14ac:dyDescent="0.25">
      <c r="A422" s="1"/>
      <c r="B422" s="6"/>
      <c r="C422" s="52" t="s">
        <v>26</v>
      </c>
      <c r="D422" s="53"/>
      <c r="E422" s="54">
        <f>N428</f>
        <v>150</v>
      </c>
      <c r="F422" s="124" t="s">
        <v>54</v>
      </c>
      <c r="G422" s="125"/>
      <c r="H422" s="125"/>
      <c r="I422" s="125"/>
      <c r="J422" s="125"/>
      <c r="K422" s="125"/>
      <c r="L422" s="125"/>
      <c r="M422" s="125"/>
      <c r="N422" s="125"/>
      <c r="O422" s="126"/>
      <c r="P422" s="102"/>
    </row>
    <row r="423" spans="1:16" x14ac:dyDescent="0.25">
      <c r="A423" s="1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102"/>
    </row>
    <row r="424" spans="1:16" x14ac:dyDescent="0.25">
      <c r="A424" s="1"/>
      <c r="B424" s="6"/>
      <c r="C424" s="7"/>
      <c r="D424" s="58" t="s">
        <v>28</v>
      </c>
      <c r="E424" s="58" t="s">
        <v>29</v>
      </c>
      <c r="F424" s="59" t="s">
        <v>30</v>
      </c>
      <c r="G424" s="59"/>
      <c r="H424" s="59"/>
      <c r="I424" s="59"/>
      <c r="J424" s="59" t="s">
        <v>31</v>
      </c>
      <c r="K424" s="59"/>
      <c r="L424" s="59"/>
      <c r="M424" s="60"/>
      <c r="N424" s="59" t="s">
        <v>32</v>
      </c>
      <c r="O424" s="59"/>
      <c r="P424" s="102"/>
    </row>
    <row r="425" spans="1:16" x14ac:dyDescent="0.25">
      <c r="A425" s="1"/>
      <c r="B425" s="6"/>
      <c r="C425" s="7"/>
      <c r="D425" s="61">
        <v>1</v>
      </c>
      <c r="E425" s="61" t="s">
        <v>33</v>
      </c>
      <c r="F425" s="62" t="s">
        <v>34</v>
      </c>
      <c r="G425" s="63"/>
      <c r="H425" s="63"/>
      <c r="I425" s="64"/>
      <c r="J425" s="65">
        <v>150</v>
      </c>
      <c r="K425" s="66"/>
      <c r="L425" s="67"/>
      <c r="M425" s="68"/>
      <c r="N425" s="69">
        <f>+D425*J425</f>
        <v>150</v>
      </c>
      <c r="O425" s="70"/>
      <c r="P425" s="102"/>
    </row>
    <row r="426" spans="1:16" x14ac:dyDescent="0.25">
      <c r="A426" s="1"/>
      <c r="B426" s="6"/>
      <c r="C426" s="7"/>
      <c r="D426" s="71"/>
      <c r="E426" s="71"/>
      <c r="F426" s="72" t="s">
        <v>35</v>
      </c>
      <c r="G426" s="73"/>
      <c r="H426" s="73"/>
      <c r="I426" s="74"/>
      <c r="J426" s="75"/>
      <c r="K426" s="76"/>
      <c r="L426" s="77"/>
      <c r="M426" s="78"/>
      <c r="N426" s="79">
        <f>+D426*J426</f>
        <v>0</v>
      </c>
      <c r="O426" s="80"/>
      <c r="P426" s="102"/>
    </row>
    <row r="427" spans="1:16" x14ac:dyDescent="0.25">
      <c r="A427" s="1"/>
      <c r="B427" s="6"/>
      <c r="C427" s="7"/>
      <c r="D427" s="71"/>
      <c r="E427" s="71"/>
      <c r="F427" s="72"/>
      <c r="G427" s="73"/>
      <c r="H427" s="73"/>
      <c r="I427" s="74"/>
      <c r="J427" s="75"/>
      <c r="K427" s="76"/>
      <c r="L427" s="77"/>
      <c r="M427" s="78"/>
      <c r="N427" s="79">
        <f>+D427*J427</f>
        <v>0</v>
      </c>
      <c r="O427" s="80"/>
      <c r="P427" s="102"/>
    </row>
    <row r="428" spans="1:16" x14ac:dyDescent="0.25">
      <c r="A428" s="1"/>
      <c r="B428" s="6"/>
      <c r="C428" s="7"/>
      <c r="D428" s="81"/>
      <c r="E428" s="81"/>
      <c r="F428" s="78"/>
      <c r="G428" s="78"/>
      <c r="H428" s="78"/>
      <c r="I428" s="78"/>
      <c r="J428" s="82"/>
      <c r="K428" s="83" t="s">
        <v>36</v>
      </c>
      <c r="L428" s="82"/>
      <c r="M428" s="78"/>
      <c r="N428" s="84">
        <f>SUM(N425:O427)</f>
        <v>150</v>
      </c>
      <c r="O428" s="84"/>
      <c r="P428" s="102"/>
    </row>
    <row r="429" spans="1:16" x14ac:dyDescent="0.25">
      <c r="A429" s="1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102"/>
    </row>
    <row r="430" spans="1:16" x14ac:dyDescent="0.25">
      <c r="A430" s="1"/>
      <c r="B430" s="6"/>
      <c r="C430" s="7"/>
      <c r="D430" s="85" t="s">
        <v>37</v>
      </c>
      <c r="E430" s="86"/>
      <c r="F430" s="87"/>
      <c r="G430" s="85" t="s">
        <v>38</v>
      </c>
      <c r="H430" s="86"/>
      <c r="I430" s="87"/>
      <c r="J430" s="7"/>
      <c r="K430" s="7"/>
      <c r="L430" s="7"/>
      <c r="M430" s="7"/>
      <c r="N430" s="7"/>
      <c r="O430" s="7"/>
      <c r="P430" s="102"/>
    </row>
    <row r="431" spans="1:16" x14ac:dyDescent="0.25">
      <c r="A431" s="1"/>
      <c r="B431" s="6"/>
      <c r="C431" s="7"/>
      <c r="D431" s="6"/>
      <c r="E431" s="7"/>
      <c r="F431" s="16"/>
      <c r="G431" s="6"/>
      <c r="H431" s="7"/>
      <c r="I431" s="16"/>
      <c r="J431" s="7"/>
      <c r="K431" s="7"/>
      <c r="L431" s="7"/>
      <c r="M431" s="7"/>
      <c r="N431" s="7"/>
      <c r="O431" s="7"/>
      <c r="P431" s="102"/>
    </row>
    <row r="432" spans="1:16" x14ac:dyDescent="0.25">
      <c r="A432" s="1"/>
      <c r="B432" s="6"/>
      <c r="C432" s="7"/>
      <c r="D432" s="88"/>
      <c r="E432" s="89"/>
      <c r="F432" s="90"/>
      <c r="G432" s="6"/>
      <c r="H432" s="7"/>
      <c r="I432" s="16"/>
      <c r="J432" s="7"/>
      <c r="K432" s="7"/>
      <c r="L432" s="7"/>
      <c r="M432" s="7"/>
      <c r="N432" s="7"/>
      <c r="O432" s="7"/>
      <c r="P432" s="102"/>
    </row>
    <row r="433" spans="1:16" x14ac:dyDescent="0.25">
      <c r="A433" s="1"/>
      <c r="B433" s="6"/>
      <c r="C433" s="7"/>
      <c r="D433" s="3"/>
      <c r="E433" s="4"/>
      <c r="F433" s="5"/>
      <c r="G433" s="6"/>
      <c r="H433" s="7"/>
      <c r="I433" s="16"/>
      <c r="J433" s="7"/>
      <c r="K433" s="7"/>
      <c r="L433" s="7"/>
      <c r="M433" s="7"/>
      <c r="N433" s="7"/>
      <c r="O433" s="7"/>
      <c r="P433" s="102"/>
    </row>
    <row r="434" spans="1:16" x14ac:dyDescent="0.25">
      <c r="A434" s="1"/>
      <c r="B434" s="6"/>
      <c r="C434" s="7"/>
      <c r="D434" s="91" t="s">
        <v>56</v>
      </c>
      <c r="E434" s="92"/>
      <c r="F434" s="93"/>
      <c r="G434" s="6"/>
      <c r="H434" s="7"/>
      <c r="I434" s="16"/>
      <c r="J434" s="7"/>
      <c r="K434" s="7"/>
      <c r="L434" s="7"/>
      <c r="M434" s="7"/>
      <c r="N434" s="7"/>
      <c r="O434" s="7"/>
      <c r="P434" s="102"/>
    </row>
    <row r="435" spans="1:16" x14ac:dyDescent="0.25">
      <c r="A435" s="1"/>
      <c r="B435" s="6"/>
      <c r="C435" s="7"/>
      <c r="D435" s="88"/>
      <c r="E435" s="89"/>
      <c r="F435" s="90"/>
      <c r="G435" s="88"/>
      <c r="H435" s="89"/>
      <c r="I435" s="90"/>
      <c r="J435" s="7"/>
      <c r="K435" s="7"/>
      <c r="L435" s="7"/>
      <c r="M435" s="7"/>
      <c r="N435" s="7"/>
      <c r="O435" s="7"/>
      <c r="P435" s="102"/>
    </row>
    <row r="436" spans="1:16" x14ac:dyDescent="0.25">
      <c r="A436" s="1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102"/>
    </row>
    <row r="437" spans="1:16" x14ac:dyDescent="0.25">
      <c r="A437" s="1"/>
      <c r="B437" s="88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127"/>
    </row>
    <row r="438" spans="1:16" x14ac:dyDescent="0.25">
      <c r="A438" s="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100"/>
    </row>
    <row r="439" spans="1:16" x14ac:dyDescent="0.25">
      <c r="A439" s="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100"/>
    </row>
    <row r="440" spans="1:16" x14ac:dyDescent="0.25">
      <c r="A440" s="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100"/>
    </row>
    <row r="441" spans="1:16" x14ac:dyDescent="0.25">
      <c r="A441" s="1"/>
    </row>
    <row r="442" spans="1:16" x14ac:dyDescent="0.25">
      <c r="A442" s="1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101"/>
    </row>
    <row r="443" spans="1:16" x14ac:dyDescent="0.25">
      <c r="A443" s="1"/>
      <c r="B443" s="6"/>
      <c r="C443" s="7"/>
      <c r="D443" s="7"/>
      <c r="E443" s="7"/>
      <c r="F443" s="8" t="s">
        <v>0</v>
      </c>
      <c r="G443" s="8"/>
      <c r="H443" s="8"/>
      <c r="I443" s="9"/>
      <c r="J443" s="10" t="s">
        <v>1</v>
      </c>
      <c r="K443" s="11"/>
      <c r="L443" s="12"/>
      <c r="M443" s="13"/>
      <c r="N443" s="14" t="s">
        <v>2</v>
      </c>
      <c r="O443" s="15"/>
      <c r="P443" s="102"/>
    </row>
    <row r="444" spans="1:16" x14ac:dyDescent="0.25">
      <c r="A444" s="1"/>
      <c r="B444" s="6"/>
      <c r="C444" s="7"/>
      <c r="D444" s="7"/>
      <c r="E444" s="103" t="s">
        <v>48</v>
      </c>
      <c r="F444" s="103"/>
      <c r="G444" s="103"/>
      <c r="H444" s="103"/>
      <c r="I444" s="104"/>
      <c r="J444" s="105">
        <v>610</v>
      </c>
      <c r="K444" s="106"/>
      <c r="L444" s="107"/>
      <c r="M444" s="13"/>
      <c r="N444" s="128" t="s">
        <v>75</v>
      </c>
      <c r="O444" s="129"/>
      <c r="P444" s="102"/>
    </row>
    <row r="445" spans="1:16" ht="18" x14ac:dyDescent="0.25">
      <c r="A445" s="1"/>
      <c r="B445" s="6"/>
      <c r="C445" s="7"/>
      <c r="D445" s="7"/>
      <c r="E445" s="7"/>
      <c r="F445" s="21" t="s">
        <v>5</v>
      </c>
      <c r="G445" s="21"/>
      <c r="H445" s="21"/>
      <c r="I445" s="21"/>
      <c r="J445" s="7"/>
      <c r="K445" s="7"/>
      <c r="L445" s="7"/>
      <c r="M445" s="7"/>
      <c r="N445" s="7"/>
      <c r="O445" s="7"/>
      <c r="P445" s="102"/>
    </row>
    <row r="446" spans="1:16" x14ac:dyDescent="0.25">
      <c r="A446" s="1"/>
      <c r="B446" s="6"/>
      <c r="C446" s="7"/>
      <c r="D446" s="7"/>
      <c r="E446" s="7"/>
      <c r="F446" s="23" t="s">
        <v>6</v>
      </c>
      <c r="G446" s="23"/>
      <c r="H446" s="23"/>
      <c r="I446" s="110"/>
      <c r="J446" s="111" t="s">
        <v>7</v>
      </c>
      <c r="K446" s="112"/>
      <c r="L446" s="113"/>
      <c r="M446" s="7"/>
      <c r="N446" s="14" t="s">
        <v>8</v>
      </c>
      <c r="O446" s="15"/>
      <c r="P446" s="102"/>
    </row>
    <row r="447" spans="1:16" x14ac:dyDescent="0.25">
      <c r="A447" s="1"/>
      <c r="B447" s="6"/>
      <c r="C447" s="28" t="s">
        <v>9</v>
      </c>
      <c r="D447" s="7"/>
      <c r="E447" s="7"/>
      <c r="F447" s="7"/>
      <c r="G447" s="7"/>
      <c r="H447" s="7"/>
      <c r="I447" s="7"/>
      <c r="J447" s="114">
        <v>44749</v>
      </c>
      <c r="K447" s="30"/>
      <c r="L447" s="31"/>
      <c r="M447" s="7"/>
      <c r="N447" s="32" t="s">
        <v>10</v>
      </c>
      <c r="O447" s="109"/>
      <c r="P447" s="102"/>
    </row>
    <row r="448" spans="1:16" x14ac:dyDescent="0.25">
      <c r="A448" s="1"/>
      <c r="B448" s="6"/>
      <c r="C448" s="28" t="s">
        <v>11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102"/>
    </row>
    <row r="449" spans="1:17" x14ac:dyDescent="0.25">
      <c r="A449" s="1"/>
      <c r="B449" s="6"/>
      <c r="C449" s="34" t="s">
        <v>12</v>
      </c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102"/>
    </row>
    <row r="450" spans="1:17" x14ac:dyDescent="0.25">
      <c r="A450" s="1"/>
      <c r="B450" s="6"/>
      <c r="C450" s="19"/>
      <c r="D450" s="115"/>
      <c r="E450" s="115"/>
      <c r="F450" s="115"/>
      <c r="G450" s="115"/>
      <c r="H450" s="115"/>
      <c r="I450" s="20"/>
      <c r="J450" s="7"/>
      <c r="K450" s="14" t="s">
        <v>14</v>
      </c>
      <c r="L450" s="38"/>
      <c r="M450" s="38"/>
      <c r="N450" s="38"/>
      <c r="O450" s="15"/>
      <c r="P450" s="102"/>
    </row>
    <row r="451" spans="1:17" x14ac:dyDescent="0.25">
      <c r="A451" s="1"/>
      <c r="B451" s="39"/>
      <c r="C451" s="116" t="s">
        <v>15</v>
      </c>
      <c r="D451" s="117"/>
      <c r="E451" s="118"/>
      <c r="F451" s="116" t="s">
        <v>16</v>
      </c>
      <c r="G451" s="118"/>
      <c r="H451" s="116" t="s">
        <v>17</v>
      </c>
      <c r="I451" s="118"/>
      <c r="J451" s="7"/>
      <c r="K451" s="119">
        <v>19107010440180</v>
      </c>
      <c r="L451" s="120"/>
      <c r="M451" s="120"/>
      <c r="N451" s="120"/>
      <c r="O451" s="121"/>
      <c r="P451" s="102"/>
    </row>
    <row r="452" spans="1:17" x14ac:dyDescent="0.25">
      <c r="A452" s="1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102"/>
    </row>
    <row r="453" spans="1:17" x14ac:dyDescent="0.25">
      <c r="A453" s="1"/>
      <c r="B453" s="6"/>
      <c r="C453" s="3"/>
      <c r="D453" s="4"/>
      <c r="E453" s="4"/>
      <c r="F453" s="4"/>
      <c r="G453" s="4"/>
      <c r="H453" s="4"/>
      <c r="I453" s="4"/>
      <c r="J453" s="5"/>
      <c r="K453" s="7"/>
      <c r="L453" s="3"/>
      <c r="M453" s="4"/>
      <c r="N453" s="4"/>
      <c r="O453" s="5"/>
      <c r="P453" s="102"/>
    </row>
    <row r="454" spans="1:17" x14ac:dyDescent="0.25">
      <c r="A454" s="1"/>
      <c r="B454" s="6"/>
      <c r="C454" s="88"/>
      <c r="D454" s="89"/>
      <c r="E454" s="89"/>
      <c r="F454" s="45" t="s">
        <v>51</v>
      </c>
      <c r="G454" s="45"/>
      <c r="H454" s="89"/>
      <c r="I454" s="89"/>
      <c r="J454" s="90"/>
      <c r="K454" s="7"/>
      <c r="L454" s="44" t="s">
        <v>58</v>
      </c>
      <c r="M454" s="122"/>
      <c r="N454" s="123" t="s">
        <v>59</v>
      </c>
      <c r="O454" s="48" t="s">
        <v>45</v>
      </c>
      <c r="P454" s="102"/>
    </row>
    <row r="455" spans="1:17" x14ac:dyDescent="0.25">
      <c r="A455" s="1"/>
      <c r="B455" s="6"/>
      <c r="C455" s="116" t="s">
        <v>21</v>
      </c>
      <c r="D455" s="117"/>
      <c r="E455" s="117"/>
      <c r="F455" s="117"/>
      <c r="G455" s="117"/>
      <c r="H455" s="117"/>
      <c r="I455" s="117"/>
      <c r="J455" s="118"/>
      <c r="K455" s="7"/>
      <c r="L455" s="116" t="s">
        <v>22</v>
      </c>
      <c r="M455" s="117"/>
      <c r="N455" s="49" t="s">
        <v>23</v>
      </c>
      <c r="O455" s="50" t="s">
        <v>24</v>
      </c>
      <c r="P455" s="102"/>
    </row>
    <row r="456" spans="1:17" x14ac:dyDescent="0.25">
      <c r="A456" s="1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102"/>
    </row>
    <row r="457" spans="1:17" x14ac:dyDescent="0.25">
      <c r="A457" s="1"/>
      <c r="B457" s="6"/>
      <c r="C457" s="52" t="s">
        <v>26</v>
      </c>
      <c r="D457" s="53"/>
      <c r="E457" s="54">
        <v>150</v>
      </c>
      <c r="F457" s="55" t="s">
        <v>60</v>
      </c>
      <c r="G457" s="56"/>
      <c r="H457" s="56"/>
      <c r="I457" s="56"/>
      <c r="J457" s="56"/>
      <c r="K457" s="56"/>
      <c r="L457" s="56"/>
      <c r="M457" s="56"/>
      <c r="N457" s="56"/>
      <c r="O457" s="57"/>
      <c r="P457" s="102"/>
    </row>
    <row r="458" spans="1:17" x14ac:dyDescent="0.25">
      <c r="A458" s="1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102"/>
      <c r="Q458" s="130"/>
    </row>
    <row r="459" spans="1:17" x14ac:dyDescent="0.25">
      <c r="A459" s="1"/>
      <c r="B459" s="6"/>
      <c r="C459" s="7"/>
      <c r="D459" s="58" t="s">
        <v>28</v>
      </c>
      <c r="E459" s="58" t="s">
        <v>29</v>
      </c>
      <c r="F459" s="59" t="s">
        <v>30</v>
      </c>
      <c r="G459" s="59"/>
      <c r="H459" s="59"/>
      <c r="I459" s="59"/>
      <c r="J459" s="59" t="s">
        <v>31</v>
      </c>
      <c r="K459" s="59"/>
      <c r="L459" s="59"/>
      <c r="M459" s="60"/>
      <c r="N459" s="59" t="s">
        <v>32</v>
      </c>
      <c r="O459" s="59"/>
      <c r="P459" s="102"/>
    </row>
    <row r="460" spans="1:17" x14ac:dyDescent="0.25">
      <c r="A460" s="1"/>
      <c r="B460" s="6"/>
      <c r="C460" s="7"/>
      <c r="D460" s="61">
        <v>1</v>
      </c>
      <c r="E460" s="61" t="s">
        <v>33</v>
      </c>
      <c r="F460" s="62" t="s">
        <v>34</v>
      </c>
      <c r="G460" s="63"/>
      <c r="H460" s="63"/>
      <c r="I460" s="64"/>
      <c r="J460" s="65">
        <v>150</v>
      </c>
      <c r="K460" s="66"/>
      <c r="L460" s="67"/>
      <c r="M460" s="68"/>
      <c r="N460" s="69">
        <f>+D460*J460</f>
        <v>150</v>
      </c>
      <c r="O460" s="70"/>
      <c r="P460" s="102"/>
    </row>
    <row r="461" spans="1:17" x14ac:dyDescent="0.25">
      <c r="A461" s="1"/>
      <c r="B461" s="6"/>
      <c r="C461" s="7"/>
      <c r="D461" s="71"/>
      <c r="E461" s="71"/>
      <c r="F461" s="72" t="s">
        <v>61</v>
      </c>
      <c r="G461" s="73"/>
      <c r="H461" s="73"/>
      <c r="I461" s="74"/>
      <c r="J461" s="75"/>
      <c r="K461" s="76"/>
      <c r="L461" s="77"/>
      <c r="M461" s="78"/>
      <c r="N461" s="79">
        <f>+D461*J461</f>
        <v>0</v>
      </c>
      <c r="O461" s="80"/>
      <c r="P461" s="102"/>
    </row>
    <row r="462" spans="1:17" x14ac:dyDescent="0.25">
      <c r="A462" s="1"/>
      <c r="B462" s="6"/>
      <c r="C462" s="7"/>
      <c r="D462" s="71"/>
      <c r="E462" s="71"/>
      <c r="F462" s="131" t="s">
        <v>62</v>
      </c>
      <c r="G462" s="73"/>
      <c r="H462" s="73"/>
      <c r="I462" s="74"/>
      <c r="J462" s="75"/>
      <c r="K462" s="76"/>
      <c r="L462" s="77"/>
      <c r="M462" s="78"/>
      <c r="N462" s="79">
        <f>+D462*J462</f>
        <v>0</v>
      </c>
      <c r="O462" s="80"/>
      <c r="P462" s="102"/>
    </row>
    <row r="463" spans="1:17" x14ac:dyDescent="0.25">
      <c r="A463" s="1"/>
      <c r="B463" s="6"/>
      <c r="C463" s="7"/>
      <c r="D463" s="81"/>
      <c r="E463" s="81"/>
      <c r="F463" s="78"/>
      <c r="G463" s="78"/>
      <c r="H463" s="78"/>
      <c r="I463" s="78"/>
      <c r="J463" s="82"/>
      <c r="K463" s="83" t="s">
        <v>36</v>
      </c>
      <c r="L463" s="82"/>
      <c r="M463" s="78"/>
      <c r="N463" s="84">
        <f>SUM(N460:O462)</f>
        <v>150</v>
      </c>
      <c r="O463" s="84"/>
      <c r="P463" s="102"/>
    </row>
    <row r="464" spans="1:17" x14ac:dyDescent="0.25">
      <c r="A464" s="1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102"/>
    </row>
    <row r="465" spans="1:17" x14ac:dyDescent="0.25">
      <c r="A465" s="1"/>
      <c r="B465" s="6"/>
      <c r="C465" s="7"/>
      <c r="D465" s="85" t="s">
        <v>37</v>
      </c>
      <c r="E465" s="86"/>
      <c r="F465" s="87"/>
      <c r="G465" s="85" t="s">
        <v>38</v>
      </c>
      <c r="H465" s="86"/>
      <c r="I465" s="87"/>
      <c r="J465" s="7"/>
      <c r="K465" s="7"/>
      <c r="L465" s="7"/>
      <c r="M465" s="7"/>
      <c r="N465" s="7"/>
      <c r="O465" s="7"/>
      <c r="P465" s="102"/>
    </row>
    <row r="466" spans="1:17" x14ac:dyDescent="0.25">
      <c r="A466" s="1"/>
      <c r="B466" s="6"/>
      <c r="C466" s="7"/>
      <c r="D466" s="6"/>
      <c r="E466" s="7"/>
      <c r="F466" s="16"/>
      <c r="G466" s="6"/>
      <c r="H466" s="7"/>
      <c r="I466" s="16"/>
      <c r="J466" s="7"/>
      <c r="K466" s="7"/>
      <c r="L466" s="7"/>
      <c r="M466" s="7"/>
      <c r="N466" s="7"/>
      <c r="O466" s="7"/>
      <c r="P466" s="102"/>
    </row>
    <row r="467" spans="1:17" x14ac:dyDescent="0.25">
      <c r="A467" s="1"/>
      <c r="B467" s="6"/>
      <c r="C467" s="7"/>
      <c r="D467" s="88"/>
      <c r="E467" s="89"/>
      <c r="F467" s="90"/>
      <c r="G467" s="6"/>
      <c r="H467" s="7"/>
      <c r="I467" s="16"/>
      <c r="J467" s="7"/>
      <c r="K467" s="7"/>
      <c r="L467" s="7"/>
      <c r="M467" s="7"/>
      <c r="N467" s="7"/>
      <c r="O467" s="7"/>
      <c r="P467" s="102"/>
    </row>
    <row r="468" spans="1:17" x14ac:dyDescent="0.25">
      <c r="A468" s="1"/>
      <c r="B468" s="6"/>
      <c r="C468" s="7"/>
      <c r="D468" s="3"/>
      <c r="E468" s="4"/>
      <c r="F468" s="5"/>
      <c r="G468" s="6"/>
      <c r="H468" s="7"/>
      <c r="I468" s="16"/>
      <c r="J468" s="7"/>
      <c r="K468" s="7"/>
      <c r="L468" s="7"/>
      <c r="M468" s="7"/>
      <c r="N468" s="7"/>
      <c r="O468" s="7"/>
      <c r="P468" s="102"/>
    </row>
    <row r="469" spans="1:17" x14ac:dyDescent="0.25">
      <c r="A469" s="1"/>
      <c r="B469" s="6"/>
      <c r="C469" s="7"/>
      <c r="D469" s="91" t="s">
        <v>56</v>
      </c>
      <c r="E469" s="92"/>
      <c r="F469" s="93"/>
      <c r="G469" s="6"/>
      <c r="H469" s="7"/>
      <c r="I469" s="16"/>
      <c r="J469" s="7"/>
      <c r="K469" s="7"/>
      <c r="L469" s="7"/>
      <c r="M469" s="7"/>
      <c r="N469" s="7"/>
      <c r="O469" s="7"/>
      <c r="P469" s="102"/>
    </row>
    <row r="470" spans="1:17" x14ac:dyDescent="0.25">
      <c r="A470" s="1"/>
      <c r="B470" s="6"/>
      <c r="C470" s="7"/>
      <c r="D470" s="88"/>
      <c r="E470" s="89"/>
      <c r="F470" s="90"/>
      <c r="G470" s="88"/>
      <c r="H470" s="89"/>
      <c r="I470" s="90"/>
      <c r="J470" s="7"/>
      <c r="K470" s="7"/>
      <c r="L470" s="7"/>
      <c r="M470" s="7"/>
      <c r="N470" s="7"/>
      <c r="O470" s="7"/>
      <c r="P470" s="102"/>
    </row>
    <row r="471" spans="1:17" x14ac:dyDescent="0.25">
      <c r="A471" s="1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102"/>
    </row>
    <row r="472" spans="1:17" x14ac:dyDescent="0.25">
      <c r="A472" s="1"/>
      <c r="B472" s="88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127"/>
      <c r="Q472" s="2" t="s">
        <v>63</v>
      </c>
    </row>
    <row r="473" spans="1:17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7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7" x14ac:dyDescent="0.25">
      <c r="A475" s="1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101"/>
    </row>
    <row r="476" spans="1:17" x14ac:dyDescent="0.25">
      <c r="A476" s="1"/>
      <c r="B476" s="6"/>
      <c r="C476" s="7"/>
      <c r="D476" s="7"/>
      <c r="E476" s="7"/>
      <c r="F476" s="8" t="s">
        <v>0</v>
      </c>
      <c r="G476" s="8"/>
      <c r="H476" s="8"/>
      <c r="I476" s="9"/>
      <c r="J476" s="10" t="s">
        <v>1</v>
      </c>
      <c r="K476" s="11"/>
      <c r="L476" s="12"/>
      <c r="M476" s="13"/>
      <c r="N476" s="14" t="s">
        <v>2</v>
      </c>
      <c r="O476" s="15"/>
      <c r="P476" s="102"/>
    </row>
    <row r="477" spans="1:17" x14ac:dyDescent="0.25">
      <c r="A477" s="1"/>
      <c r="B477" s="6"/>
      <c r="C477" s="7"/>
      <c r="D477" s="7"/>
      <c r="E477" s="103" t="s">
        <v>48</v>
      </c>
      <c r="F477" s="103"/>
      <c r="G477" s="103"/>
      <c r="H477" s="103"/>
      <c r="I477" s="104"/>
      <c r="J477" s="105">
        <v>610</v>
      </c>
      <c r="K477" s="106"/>
      <c r="L477" s="107"/>
      <c r="M477" s="13"/>
      <c r="N477" s="128" t="s">
        <v>76</v>
      </c>
      <c r="O477" s="129"/>
      <c r="P477" s="102"/>
    </row>
    <row r="478" spans="1:17" ht="18" x14ac:dyDescent="0.25">
      <c r="A478" s="1"/>
      <c r="B478" s="6"/>
      <c r="C478" s="7"/>
      <c r="D478" s="7"/>
      <c r="E478" s="7"/>
      <c r="F478" s="21" t="s">
        <v>5</v>
      </c>
      <c r="G478" s="21"/>
      <c r="H478" s="21"/>
      <c r="I478" s="21"/>
      <c r="J478" s="7"/>
      <c r="K478" s="7"/>
      <c r="L478" s="7"/>
      <c r="M478" s="7"/>
      <c r="N478" s="7"/>
      <c r="O478" s="7"/>
      <c r="P478" s="102"/>
    </row>
    <row r="479" spans="1:17" x14ac:dyDescent="0.25">
      <c r="A479" s="1"/>
      <c r="B479" s="6"/>
      <c r="C479" s="7"/>
      <c r="D479" s="7"/>
      <c r="E479" s="7"/>
      <c r="F479" s="23" t="s">
        <v>18</v>
      </c>
      <c r="G479" s="23"/>
      <c r="H479" s="23"/>
      <c r="I479" s="110"/>
      <c r="J479" s="111" t="s">
        <v>7</v>
      </c>
      <c r="K479" s="112"/>
      <c r="L479" s="113"/>
      <c r="M479" s="7"/>
      <c r="N479" s="14" t="s">
        <v>8</v>
      </c>
      <c r="O479" s="15"/>
      <c r="P479" s="102"/>
    </row>
    <row r="480" spans="1:17" x14ac:dyDescent="0.25">
      <c r="A480" s="1"/>
      <c r="B480" s="6"/>
      <c r="C480" s="28" t="s">
        <v>9</v>
      </c>
      <c r="D480" s="7"/>
      <c r="E480" s="7"/>
      <c r="F480" s="7"/>
      <c r="G480" s="7"/>
      <c r="H480" s="7"/>
      <c r="I480" s="7"/>
      <c r="J480" s="114">
        <v>44749</v>
      </c>
      <c r="K480" s="30"/>
      <c r="L480" s="31"/>
      <c r="M480" s="7"/>
      <c r="N480" s="32" t="s">
        <v>10</v>
      </c>
      <c r="O480" s="109"/>
      <c r="P480" s="102"/>
    </row>
    <row r="481" spans="1:16" x14ac:dyDescent="0.25">
      <c r="A481" s="1"/>
      <c r="B481" s="6"/>
      <c r="C481" s="28" t="s">
        <v>11</v>
      </c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102"/>
    </row>
    <row r="482" spans="1:16" x14ac:dyDescent="0.25">
      <c r="A482" s="1"/>
      <c r="B482" s="6"/>
      <c r="C482" s="34" t="s">
        <v>12</v>
      </c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102"/>
    </row>
    <row r="483" spans="1:16" x14ac:dyDescent="0.25">
      <c r="A483" s="1"/>
      <c r="B483" s="6"/>
      <c r="C483" s="19"/>
      <c r="D483" s="115"/>
      <c r="E483" s="115"/>
      <c r="F483" s="115"/>
      <c r="G483" s="115"/>
      <c r="H483" s="115"/>
      <c r="I483" s="20"/>
      <c r="J483" s="7"/>
      <c r="K483" s="14" t="s">
        <v>14</v>
      </c>
      <c r="L483" s="38"/>
      <c r="M483" s="38"/>
      <c r="N483" s="38"/>
      <c r="O483" s="15"/>
      <c r="P483" s="102"/>
    </row>
    <row r="484" spans="1:16" x14ac:dyDescent="0.25">
      <c r="A484" s="1"/>
      <c r="B484" s="39"/>
      <c r="C484" s="116" t="s">
        <v>15</v>
      </c>
      <c r="D484" s="117"/>
      <c r="E484" s="118"/>
      <c r="F484" s="116" t="s">
        <v>16</v>
      </c>
      <c r="G484" s="118"/>
      <c r="H484" s="116" t="s">
        <v>17</v>
      </c>
      <c r="I484" s="118"/>
      <c r="J484" s="7"/>
      <c r="K484" s="119">
        <v>19107010440174</v>
      </c>
      <c r="L484" s="120"/>
      <c r="M484" s="120"/>
      <c r="N484" s="120"/>
      <c r="O484" s="121"/>
      <c r="P484" s="102"/>
    </row>
    <row r="485" spans="1:16" x14ac:dyDescent="0.25">
      <c r="A485" s="1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102"/>
    </row>
    <row r="486" spans="1:16" x14ac:dyDescent="0.25">
      <c r="A486" s="1"/>
      <c r="B486" s="6"/>
      <c r="C486" s="3"/>
      <c r="D486" s="4"/>
      <c r="E486" s="4"/>
      <c r="F486" s="4"/>
      <c r="G486" s="4"/>
      <c r="H486" s="4"/>
      <c r="I486" s="4"/>
      <c r="J486" s="5"/>
      <c r="K486" s="7"/>
      <c r="L486" s="3"/>
      <c r="M486" s="4"/>
      <c r="N486" s="4"/>
      <c r="O486" s="5"/>
      <c r="P486" s="102"/>
    </row>
    <row r="487" spans="1:16" x14ac:dyDescent="0.25">
      <c r="A487" s="1"/>
      <c r="B487" s="6"/>
      <c r="C487" s="88"/>
      <c r="D487" s="89"/>
      <c r="E487" s="89"/>
      <c r="F487" s="45" t="s">
        <v>51</v>
      </c>
      <c r="G487" s="45"/>
      <c r="H487" s="89"/>
      <c r="I487" s="89"/>
      <c r="J487" s="90"/>
      <c r="K487" s="7"/>
      <c r="L487" s="44" t="s">
        <v>44</v>
      </c>
      <c r="M487" s="122"/>
      <c r="N487" s="123" t="s">
        <v>65</v>
      </c>
      <c r="O487" s="48" t="s">
        <v>45</v>
      </c>
      <c r="P487" s="102"/>
    </row>
    <row r="488" spans="1:16" x14ac:dyDescent="0.25">
      <c r="A488" s="1"/>
      <c r="B488" s="6"/>
      <c r="C488" s="116" t="s">
        <v>21</v>
      </c>
      <c r="D488" s="117"/>
      <c r="E488" s="117"/>
      <c r="F488" s="117"/>
      <c r="G488" s="117"/>
      <c r="H488" s="117"/>
      <c r="I488" s="117"/>
      <c r="J488" s="118"/>
      <c r="K488" s="7"/>
      <c r="L488" s="116" t="s">
        <v>22</v>
      </c>
      <c r="M488" s="117"/>
      <c r="N488" s="49" t="s">
        <v>23</v>
      </c>
      <c r="O488" s="50" t="s">
        <v>24</v>
      </c>
      <c r="P488" s="102"/>
    </row>
    <row r="489" spans="1:16" x14ac:dyDescent="0.25">
      <c r="A489" s="1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102"/>
    </row>
    <row r="490" spans="1:16" x14ac:dyDescent="0.25">
      <c r="A490" s="1"/>
      <c r="B490" s="6"/>
      <c r="C490" s="52" t="s">
        <v>26</v>
      </c>
      <c r="D490" s="53"/>
      <c r="E490" s="54">
        <v>150</v>
      </c>
      <c r="F490" s="55" t="s">
        <v>60</v>
      </c>
      <c r="G490" s="56"/>
      <c r="H490" s="56"/>
      <c r="I490" s="56"/>
      <c r="J490" s="56"/>
      <c r="K490" s="56"/>
      <c r="L490" s="56"/>
      <c r="M490" s="56"/>
      <c r="N490" s="56"/>
      <c r="O490" s="57"/>
      <c r="P490" s="102"/>
    </row>
    <row r="491" spans="1:16" x14ac:dyDescent="0.25">
      <c r="A491" s="1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102"/>
    </row>
    <row r="492" spans="1:16" x14ac:dyDescent="0.25">
      <c r="A492" s="1"/>
      <c r="B492" s="6"/>
      <c r="C492" s="7"/>
      <c r="D492" s="58" t="s">
        <v>28</v>
      </c>
      <c r="E492" s="58" t="s">
        <v>29</v>
      </c>
      <c r="F492" s="59" t="s">
        <v>30</v>
      </c>
      <c r="G492" s="59"/>
      <c r="H492" s="59"/>
      <c r="I492" s="59"/>
      <c r="J492" s="59" t="s">
        <v>31</v>
      </c>
      <c r="K492" s="59"/>
      <c r="L492" s="59"/>
      <c r="M492" s="60"/>
      <c r="N492" s="59" t="s">
        <v>32</v>
      </c>
      <c r="O492" s="59"/>
      <c r="P492" s="102"/>
    </row>
    <row r="493" spans="1:16" x14ac:dyDescent="0.25">
      <c r="A493" s="1"/>
      <c r="B493" s="6"/>
      <c r="C493" s="7"/>
      <c r="D493" s="61">
        <v>1</v>
      </c>
      <c r="E493" s="61" t="s">
        <v>33</v>
      </c>
      <c r="F493" s="62" t="s">
        <v>34</v>
      </c>
      <c r="G493" s="63"/>
      <c r="H493" s="63"/>
      <c r="I493" s="64"/>
      <c r="J493" s="65">
        <v>150</v>
      </c>
      <c r="K493" s="66"/>
      <c r="L493" s="67"/>
      <c r="M493" s="68"/>
      <c r="N493" s="69">
        <f>+D493*J493</f>
        <v>150</v>
      </c>
      <c r="O493" s="70"/>
      <c r="P493" s="102"/>
    </row>
    <row r="494" spans="1:16" x14ac:dyDescent="0.25">
      <c r="A494" s="1"/>
      <c r="B494" s="6"/>
      <c r="C494" s="7"/>
      <c r="D494" s="71"/>
      <c r="E494" s="71"/>
      <c r="F494" s="72" t="s">
        <v>35</v>
      </c>
      <c r="G494" s="73"/>
      <c r="H494" s="73"/>
      <c r="I494" s="74"/>
      <c r="J494" s="75"/>
      <c r="K494" s="76"/>
      <c r="L494" s="77"/>
      <c r="M494" s="78"/>
      <c r="N494" s="79">
        <f>+D494*J494</f>
        <v>0</v>
      </c>
      <c r="O494" s="80"/>
      <c r="P494" s="102"/>
    </row>
    <row r="495" spans="1:16" x14ac:dyDescent="0.25">
      <c r="A495" s="1"/>
      <c r="B495" s="6"/>
      <c r="C495" s="7"/>
      <c r="D495" s="71"/>
      <c r="E495" s="71"/>
      <c r="F495" s="131" t="s">
        <v>62</v>
      </c>
      <c r="G495" s="73"/>
      <c r="H495" s="73"/>
      <c r="I495" s="74"/>
      <c r="J495" s="75"/>
      <c r="K495" s="76"/>
      <c r="L495" s="77"/>
      <c r="M495" s="78"/>
      <c r="N495" s="79">
        <f>+D495*J495</f>
        <v>0</v>
      </c>
      <c r="O495" s="80"/>
      <c r="P495" s="102"/>
    </row>
    <row r="496" spans="1:16" x14ac:dyDescent="0.25">
      <c r="A496" s="1"/>
      <c r="B496" s="6"/>
      <c r="C496" s="7"/>
      <c r="D496" s="81"/>
      <c r="E496" s="81"/>
      <c r="F496" s="78"/>
      <c r="G496" s="78"/>
      <c r="H496" s="78"/>
      <c r="I496" s="78"/>
      <c r="J496" s="82"/>
      <c r="K496" s="83" t="s">
        <v>36</v>
      </c>
      <c r="L496" s="82"/>
      <c r="M496" s="78"/>
      <c r="N496" s="84">
        <f>SUM(N493:O495)</f>
        <v>150</v>
      </c>
      <c r="O496" s="84"/>
      <c r="P496" s="102"/>
    </row>
    <row r="497" spans="1:16" x14ac:dyDescent="0.25">
      <c r="A497" s="1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102"/>
    </row>
    <row r="498" spans="1:16" x14ac:dyDescent="0.25">
      <c r="A498" s="1"/>
      <c r="B498" s="6"/>
      <c r="C498" s="7"/>
      <c r="D498" s="85" t="s">
        <v>37</v>
      </c>
      <c r="E498" s="86"/>
      <c r="F498" s="87"/>
      <c r="G498" s="85" t="s">
        <v>38</v>
      </c>
      <c r="H498" s="86"/>
      <c r="I498" s="87"/>
      <c r="J498" s="7"/>
      <c r="K498" s="7"/>
      <c r="L498" s="7"/>
      <c r="M498" s="7"/>
      <c r="N498" s="7"/>
      <c r="O498" s="7"/>
      <c r="P498" s="102"/>
    </row>
    <row r="499" spans="1:16" x14ac:dyDescent="0.25">
      <c r="A499" s="1"/>
      <c r="B499" s="6"/>
      <c r="C499" s="7"/>
      <c r="D499" s="6"/>
      <c r="E499" s="7"/>
      <c r="F499" s="16"/>
      <c r="G499" s="6"/>
      <c r="H499" s="7"/>
      <c r="I499" s="16"/>
      <c r="J499" s="7"/>
      <c r="K499" s="7"/>
      <c r="L499" s="7"/>
      <c r="M499" s="7"/>
      <c r="N499" s="7"/>
      <c r="O499" s="7"/>
      <c r="P499" s="102"/>
    </row>
    <row r="500" spans="1:16" x14ac:dyDescent="0.25">
      <c r="A500" s="1"/>
      <c r="B500" s="6"/>
      <c r="C500" s="7"/>
      <c r="D500" s="88"/>
      <c r="E500" s="89"/>
      <c r="F500" s="90"/>
      <c r="G500" s="6"/>
      <c r="H500" s="7"/>
      <c r="I500" s="16"/>
      <c r="J500" s="7"/>
      <c r="K500" s="7"/>
      <c r="L500" s="7"/>
      <c r="M500" s="7"/>
      <c r="N500" s="7"/>
      <c r="O500" s="7"/>
      <c r="P500" s="102"/>
    </row>
    <row r="501" spans="1:16" x14ac:dyDescent="0.25">
      <c r="A501" s="1"/>
      <c r="B501" s="6"/>
      <c r="C501" s="7"/>
      <c r="D501" s="3"/>
      <c r="E501" s="4"/>
      <c r="F501" s="5"/>
      <c r="G501" s="6"/>
      <c r="H501" s="7"/>
      <c r="I501" s="16"/>
      <c r="J501" s="7"/>
      <c r="K501" s="7"/>
      <c r="L501" s="7"/>
      <c r="M501" s="7"/>
      <c r="N501" s="7"/>
      <c r="O501" s="7"/>
      <c r="P501" s="102"/>
    </row>
    <row r="502" spans="1:16" x14ac:dyDescent="0.25">
      <c r="A502" s="1"/>
      <c r="B502" s="6"/>
      <c r="C502" s="7"/>
      <c r="D502" s="91" t="s">
        <v>56</v>
      </c>
      <c r="E502" s="92"/>
      <c r="F502" s="93"/>
      <c r="G502" s="6"/>
      <c r="H502" s="7"/>
      <c r="I502" s="16"/>
      <c r="J502" s="7"/>
      <c r="K502" s="7"/>
      <c r="L502" s="7"/>
      <c r="M502" s="7"/>
      <c r="N502" s="7"/>
      <c r="O502" s="7"/>
      <c r="P502" s="102"/>
    </row>
    <row r="503" spans="1:16" x14ac:dyDescent="0.25">
      <c r="A503" s="1"/>
      <c r="B503" s="6"/>
      <c r="C503" s="7"/>
      <c r="D503" s="88"/>
      <c r="E503" s="89"/>
      <c r="F503" s="90"/>
      <c r="G503" s="88"/>
      <c r="H503" s="89"/>
      <c r="I503" s="90"/>
      <c r="J503" s="7"/>
      <c r="K503" s="7"/>
      <c r="L503" s="7"/>
      <c r="M503" s="7"/>
      <c r="N503" s="7"/>
      <c r="O503" s="7"/>
      <c r="P503" s="102"/>
    </row>
    <row r="504" spans="1:16" x14ac:dyDescent="0.25">
      <c r="A504" s="1"/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102"/>
    </row>
    <row r="505" spans="1:16" x14ac:dyDescent="0.25">
      <c r="A505" s="1"/>
      <c r="B505" s="88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127"/>
    </row>
    <row r="506" spans="1:16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6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6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6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6" x14ac:dyDescent="0.25">
      <c r="A510" s="1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101"/>
    </row>
    <row r="511" spans="1:16" x14ac:dyDescent="0.25">
      <c r="A511" s="1"/>
      <c r="B511" s="6"/>
      <c r="C511" s="7"/>
      <c r="D511" s="7"/>
      <c r="E511" s="7"/>
      <c r="F511" s="8" t="s">
        <v>0</v>
      </c>
      <c r="G511" s="8"/>
      <c r="H511" s="8"/>
      <c r="I511" s="9"/>
      <c r="J511" s="10" t="s">
        <v>1</v>
      </c>
      <c r="K511" s="11"/>
      <c r="L511" s="12"/>
      <c r="M511" s="13"/>
      <c r="N511" s="14" t="s">
        <v>2</v>
      </c>
      <c r="O511" s="15"/>
      <c r="P511" s="102"/>
    </row>
    <row r="512" spans="1:16" x14ac:dyDescent="0.25">
      <c r="A512" s="1"/>
      <c r="B512" s="6"/>
      <c r="C512" s="7"/>
      <c r="D512" s="7"/>
      <c r="E512" s="103" t="s">
        <v>48</v>
      </c>
      <c r="F512" s="103"/>
      <c r="G512" s="103"/>
      <c r="H512" s="103"/>
      <c r="I512" s="104"/>
      <c r="J512" s="105">
        <v>610</v>
      </c>
      <c r="K512" s="106"/>
      <c r="L512" s="107"/>
      <c r="M512" s="13"/>
      <c r="N512" s="108" t="s">
        <v>76</v>
      </c>
      <c r="O512" s="109"/>
      <c r="P512" s="102"/>
    </row>
    <row r="513" spans="1:16" ht="18" x14ac:dyDescent="0.25">
      <c r="A513" s="1"/>
      <c r="B513" s="6"/>
      <c r="C513" s="7"/>
      <c r="D513" s="7"/>
      <c r="E513" s="7"/>
      <c r="F513" s="21" t="s">
        <v>5</v>
      </c>
      <c r="G513" s="21"/>
      <c r="H513" s="21"/>
      <c r="I513" s="21"/>
      <c r="J513" s="7"/>
      <c r="K513" s="7"/>
      <c r="L513" s="7"/>
      <c r="M513" s="7"/>
      <c r="N513" s="7"/>
      <c r="O513" s="7"/>
      <c r="P513" s="102"/>
    </row>
    <row r="514" spans="1:16" x14ac:dyDescent="0.25">
      <c r="A514" s="1"/>
      <c r="B514" s="6"/>
      <c r="C514" s="7"/>
      <c r="D514" s="7"/>
      <c r="E514" s="7"/>
      <c r="F514" s="23" t="s">
        <v>6</v>
      </c>
      <c r="G514" s="23"/>
      <c r="H514" s="23"/>
      <c r="I514" s="110"/>
      <c r="J514" s="111" t="s">
        <v>7</v>
      </c>
      <c r="K514" s="112"/>
      <c r="L514" s="113"/>
      <c r="M514" s="7"/>
      <c r="N514" s="14" t="s">
        <v>8</v>
      </c>
      <c r="O514" s="15"/>
      <c r="P514" s="102"/>
    </row>
    <row r="515" spans="1:16" x14ac:dyDescent="0.25">
      <c r="A515" s="1"/>
      <c r="B515" s="6"/>
      <c r="C515" s="28" t="s">
        <v>9</v>
      </c>
      <c r="D515" s="7"/>
      <c r="E515" s="7"/>
      <c r="F515" s="7"/>
      <c r="G515" s="7"/>
      <c r="H515" s="7"/>
      <c r="I515" s="7"/>
      <c r="J515" s="114">
        <v>44749</v>
      </c>
      <c r="K515" s="30"/>
      <c r="L515" s="31"/>
      <c r="M515" s="7"/>
      <c r="N515" s="32" t="s">
        <v>10</v>
      </c>
      <c r="O515" s="109"/>
      <c r="P515" s="102"/>
    </row>
    <row r="516" spans="1:16" x14ac:dyDescent="0.25">
      <c r="A516" s="1"/>
      <c r="B516" s="6"/>
      <c r="C516" s="28" t="s">
        <v>11</v>
      </c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102"/>
    </row>
    <row r="517" spans="1:16" x14ac:dyDescent="0.25">
      <c r="A517" s="1"/>
      <c r="B517" s="6"/>
      <c r="C517" s="34" t="s">
        <v>12</v>
      </c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102"/>
    </row>
    <row r="518" spans="1:16" x14ac:dyDescent="0.25">
      <c r="A518" s="1"/>
      <c r="B518" s="6"/>
      <c r="C518" s="19"/>
      <c r="D518" s="115"/>
      <c r="E518" s="115"/>
      <c r="F518" s="115"/>
      <c r="G518" s="115"/>
      <c r="H518" s="115"/>
      <c r="I518" s="20"/>
      <c r="J518" s="7"/>
      <c r="K518" s="14" t="s">
        <v>14</v>
      </c>
      <c r="L518" s="38"/>
      <c r="M518" s="38"/>
      <c r="N518" s="38"/>
      <c r="O518" s="15"/>
      <c r="P518" s="102"/>
    </row>
    <row r="519" spans="1:16" x14ac:dyDescent="0.25">
      <c r="A519" s="1"/>
      <c r="B519" s="39"/>
      <c r="C519" s="116" t="s">
        <v>15</v>
      </c>
      <c r="D519" s="117"/>
      <c r="E519" s="118"/>
      <c r="F519" s="116" t="s">
        <v>16</v>
      </c>
      <c r="G519" s="118"/>
      <c r="H519" s="116" t="s">
        <v>17</v>
      </c>
      <c r="I519" s="118"/>
      <c r="J519" s="7"/>
      <c r="K519" s="119">
        <v>20107010440092</v>
      </c>
      <c r="L519" s="120"/>
      <c r="M519" s="120"/>
      <c r="N519" s="120"/>
      <c r="O519" s="121"/>
      <c r="P519" s="102"/>
    </row>
    <row r="520" spans="1:16" x14ac:dyDescent="0.25">
      <c r="B520" s="6"/>
      <c r="C520" s="7"/>
      <c r="D520" s="7"/>
      <c r="E520" s="7"/>
      <c r="F520" s="7"/>
      <c r="G520" s="7"/>
      <c r="H520" s="7"/>
      <c r="I520" s="7"/>
      <c r="J520" s="7"/>
      <c r="K520" s="51"/>
      <c r="L520" s="7"/>
      <c r="M520" s="7"/>
      <c r="N520" s="7"/>
      <c r="O520" s="7"/>
      <c r="P520" s="102"/>
    </row>
    <row r="521" spans="1:16" x14ac:dyDescent="0.25">
      <c r="B521" s="6"/>
      <c r="C521" s="3"/>
      <c r="D521" s="4"/>
      <c r="E521" s="4"/>
      <c r="F521" s="4"/>
      <c r="G521" s="4"/>
      <c r="H521" s="4"/>
      <c r="I521" s="4"/>
      <c r="J521" s="5"/>
      <c r="K521" s="7"/>
      <c r="L521" s="3"/>
      <c r="M521" s="4"/>
      <c r="N521" s="4"/>
      <c r="O521" s="5"/>
      <c r="P521" s="102"/>
    </row>
    <row r="522" spans="1:16" x14ac:dyDescent="0.25">
      <c r="A522" s="1"/>
      <c r="B522" s="6"/>
      <c r="C522" s="88"/>
      <c r="D522" s="89"/>
      <c r="E522" s="89"/>
      <c r="F522" s="45" t="s">
        <v>51</v>
      </c>
      <c r="G522" s="45"/>
      <c r="H522" s="89"/>
      <c r="I522" s="89"/>
      <c r="J522" s="90"/>
      <c r="K522" s="7"/>
      <c r="L522" s="44" t="s">
        <v>66</v>
      </c>
      <c r="M522" s="122"/>
      <c r="N522" s="123" t="s">
        <v>67</v>
      </c>
      <c r="O522" s="48" t="s">
        <v>45</v>
      </c>
      <c r="P522" s="102"/>
    </row>
    <row r="523" spans="1:16" x14ac:dyDescent="0.25">
      <c r="A523" s="1"/>
      <c r="B523" s="6"/>
      <c r="C523" s="116" t="s">
        <v>21</v>
      </c>
      <c r="D523" s="117"/>
      <c r="E523" s="117"/>
      <c r="F523" s="117"/>
      <c r="G523" s="117"/>
      <c r="H523" s="117"/>
      <c r="I523" s="117"/>
      <c r="J523" s="118"/>
      <c r="K523" s="7"/>
      <c r="L523" s="116" t="s">
        <v>22</v>
      </c>
      <c r="M523" s="117"/>
      <c r="N523" s="49" t="s">
        <v>23</v>
      </c>
      <c r="O523" s="50" t="s">
        <v>24</v>
      </c>
      <c r="P523" s="102"/>
    </row>
    <row r="524" spans="1:16" x14ac:dyDescent="0.25">
      <c r="A524" s="1"/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102"/>
    </row>
    <row r="525" spans="1:16" x14ac:dyDescent="0.25">
      <c r="A525" s="1"/>
      <c r="B525" s="6"/>
      <c r="C525" s="52" t="s">
        <v>26</v>
      </c>
      <c r="D525" s="53"/>
      <c r="E525" s="54">
        <f>N531</f>
        <v>150</v>
      </c>
      <c r="F525" s="55" t="s">
        <v>54</v>
      </c>
      <c r="G525" s="56"/>
      <c r="H525" s="56"/>
      <c r="I525" s="56"/>
      <c r="J525" s="56"/>
      <c r="K525" s="56"/>
      <c r="L525" s="56"/>
      <c r="M525" s="56"/>
      <c r="N525" s="56"/>
      <c r="O525" s="57"/>
      <c r="P525" s="102"/>
    </row>
    <row r="526" spans="1:16" x14ac:dyDescent="0.25">
      <c r="A526" s="1"/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102"/>
    </row>
    <row r="527" spans="1:16" x14ac:dyDescent="0.25">
      <c r="A527" s="1"/>
      <c r="B527" s="6"/>
      <c r="C527" s="7"/>
      <c r="D527" s="58" t="s">
        <v>28</v>
      </c>
      <c r="E527" s="58" t="s">
        <v>29</v>
      </c>
      <c r="F527" s="59" t="s">
        <v>30</v>
      </c>
      <c r="G527" s="59"/>
      <c r="H527" s="59"/>
      <c r="I527" s="59"/>
      <c r="J527" s="59" t="s">
        <v>31</v>
      </c>
      <c r="K527" s="59"/>
      <c r="L527" s="59"/>
      <c r="M527" s="60"/>
      <c r="N527" s="59" t="s">
        <v>32</v>
      </c>
      <c r="O527" s="59"/>
      <c r="P527" s="102"/>
    </row>
    <row r="528" spans="1:16" x14ac:dyDescent="0.25">
      <c r="A528" s="1"/>
      <c r="B528" s="6"/>
      <c r="C528" s="7"/>
      <c r="D528" s="61">
        <v>1</v>
      </c>
      <c r="E528" s="61" t="s">
        <v>33</v>
      </c>
      <c r="F528" s="62" t="s">
        <v>34</v>
      </c>
      <c r="G528" s="63"/>
      <c r="H528" s="63"/>
      <c r="I528" s="64"/>
      <c r="J528" s="65">
        <v>150</v>
      </c>
      <c r="K528" s="66"/>
      <c r="L528" s="67"/>
      <c r="M528" s="68"/>
      <c r="N528" s="69">
        <f>+D528*J528</f>
        <v>150</v>
      </c>
      <c r="O528" s="70"/>
      <c r="P528" s="102"/>
    </row>
    <row r="529" spans="1:16" x14ac:dyDescent="0.25">
      <c r="A529" s="1"/>
      <c r="B529" s="6"/>
      <c r="C529" s="7"/>
      <c r="D529" s="71"/>
      <c r="E529" s="71"/>
      <c r="F529" s="72" t="s">
        <v>35</v>
      </c>
      <c r="G529" s="73"/>
      <c r="H529" s="73"/>
      <c r="I529" s="74"/>
      <c r="J529" s="75"/>
      <c r="K529" s="76"/>
      <c r="L529" s="77"/>
      <c r="M529" s="78"/>
      <c r="N529" s="79">
        <f>+D529*J529</f>
        <v>0</v>
      </c>
      <c r="O529" s="80"/>
      <c r="P529" s="102"/>
    </row>
    <row r="530" spans="1:16" x14ac:dyDescent="0.25">
      <c r="A530" s="1"/>
      <c r="B530" s="6"/>
      <c r="C530" s="7"/>
      <c r="D530" s="71"/>
      <c r="E530" s="71"/>
      <c r="F530" s="72"/>
      <c r="G530" s="73"/>
      <c r="H530" s="73"/>
      <c r="I530" s="74"/>
      <c r="J530" s="75"/>
      <c r="K530" s="76"/>
      <c r="L530" s="77"/>
      <c r="M530" s="78"/>
      <c r="N530" s="79">
        <f>+D530*J530</f>
        <v>0</v>
      </c>
      <c r="O530" s="80"/>
      <c r="P530" s="102"/>
    </row>
    <row r="531" spans="1:16" x14ac:dyDescent="0.25">
      <c r="A531" s="1"/>
      <c r="B531" s="6"/>
      <c r="C531" s="7"/>
      <c r="D531" s="81"/>
      <c r="E531" s="81"/>
      <c r="F531" s="78"/>
      <c r="G531" s="78"/>
      <c r="H531" s="78"/>
      <c r="I531" s="78"/>
      <c r="J531" s="82"/>
      <c r="K531" s="83" t="s">
        <v>36</v>
      </c>
      <c r="L531" s="82"/>
      <c r="M531" s="78"/>
      <c r="N531" s="84">
        <f>SUM(N528:O530)</f>
        <v>150</v>
      </c>
      <c r="O531" s="84"/>
      <c r="P531" s="102"/>
    </row>
    <row r="532" spans="1:16" x14ac:dyDescent="0.25">
      <c r="A532" s="1"/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102"/>
    </row>
    <row r="533" spans="1:16" x14ac:dyDescent="0.25">
      <c r="A533" s="1"/>
      <c r="B533" s="6"/>
      <c r="C533" s="7"/>
      <c r="D533" s="85" t="s">
        <v>37</v>
      </c>
      <c r="E533" s="86"/>
      <c r="F533" s="87"/>
      <c r="G533" s="85" t="s">
        <v>38</v>
      </c>
      <c r="H533" s="86"/>
      <c r="I533" s="87"/>
      <c r="J533" s="7"/>
      <c r="K533" s="7"/>
      <c r="L533" s="7"/>
      <c r="M533" s="7"/>
      <c r="N533" s="7"/>
      <c r="O533" s="7"/>
      <c r="P533" s="102"/>
    </row>
    <row r="534" spans="1:16" x14ac:dyDescent="0.25">
      <c r="A534" s="1"/>
      <c r="B534" s="6"/>
      <c r="C534" s="7"/>
      <c r="D534" s="6"/>
      <c r="E534" s="7"/>
      <c r="F534" s="16"/>
      <c r="G534" s="6"/>
      <c r="H534" s="7"/>
      <c r="I534" s="16"/>
      <c r="J534" s="7"/>
      <c r="K534" s="7"/>
      <c r="L534" s="7"/>
      <c r="M534" s="7"/>
      <c r="N534" s="7"/>
      <c r="O534" s="7"/>
      <c r="P534" s="102"/>
    </row>
    <row r="535" spans="1:16" x14ac:dyDescent="0.25">
      <c r="A535" s="1"/>
      <c r="B535" s="6"/>
      <c r="C535" s="7"/>
      <c r="D535" s="88"/>
      <c r="E535" s="89"/>
      <c r="F535" s="90"/>
      <c r="G535" s="6"/>
      <c r="H535" s="7"/>
      <c r="I535" s="16"/>
      <c r="J535" s="7"/>
      <c r="K535" s="7"/>
      <c r="L535" s="7"/>
      <c r="M535" s="7"/>
      <c r="N535" s="7"/>
      <c r="O535" s="7"/>
      <c r="P535" s="102"/>
    </row>
    <row r="536" spans="1:16" x14ac:dyDescent="0.25">
      <c r="A536" s="1"/>
      <c r="B536" s="6"/>
      <c r="C536" s="7"/>
      <c r="D536" s="3"/>
      <c r="E536" s="4"/>
      <c r="F536" s="5"/>
      <c r="G536" s="6"/>
      <c r="H536" s="7"/>
      <c r="I536" s="16"/>
      <c r="J536" s="7"/>
      <c r="K536" s="7"/>
      <c r="L536" s="7"/>
      <c r="M536" s="7"/>
      <c r="N536" s="7"/>
      <c r="O536" s="7"/>
      <c r="P536" s="102"/>
    </row>
    <row r="537" spans="1:16" x14ac:dyDescent="0.25">
      <c r="A537" s="1"/>
      <c r="B537" s="6"/>
      <c r="C537" s="7"/>
      <c r="D537" s="91" t="s">
        <v>68</v>
      </c>
      <c r="E537" s="92"/>
      <c r="F537" s="93"/>
      <c r="G537" s="6"/>
      <c r="H537" s="7"/>
      <c r="I537" s="16"/>
      <c r="J537" s="7"/>
      <c r="K537" s="7"/>
      <c r="L537" s="7"/>
      <c r="M537" s="7"/>
      <c r="N537" s="7"/>
      <c r="O537" s="7"/>
      <c r="P537" s="102"/>
    </row>
    <row r="538" spans="1:16" x14ac:dyDescent="0.25">
      <c r="A538" s="1"/>
      <c r="B538" s="6"/>
      <c r="C538" s="7"/>
      <c r="D538" s="88"/>
      <c r="E538" s="89"/>
      <c r="F538" s="90"/>
      <c r="G538" s="88"/>
      <c r="H538" s="89"/>
      <c r="I538" s="90"/>
      <c r="J538" s="7"/>
      <c r="K538" s="7"/>
      <c r="L538" s="7"/>
      <c r="M538" s="7"/>
      <c r="N538" s="7"/>
      <c r="O538" s="7"/>
      <c r="P538" s="102"/>
    </row>
    <row r="539" spans="1:16" x14ac:dyDescent="0.25">
      <c r="A539" s="1"/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102"/>
    </row>
    <row r="540" spans="1:16" x14ac:dyDescent="0.25">
      <c r="A540" s="1"/>
      <c r="B540" s="88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127"/>
    </row>
    <row r="541" spans="1:16" x14ac:dyDescent="0.25">
      <c r="A541" s="1"/>
    </row>
    <row r="542" spans="1:16" x14ac:dyDescent="0.25">
      <c r="A542" s="1"/>
    </row>
    <row r="543" spans="1:16" x14ac:dyDescent="0.25">
      <c r="A543" s="1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101"/>
    </row>
    <row r="544" spans="1:16" x14ac:dyDescent="0.25">
      <c r="A544" s="1"/>
      <c r="B544" s="6"/>
      <c r="C544" s="7"/>
      <c r="D544" s="7"/>
      <c r="E544" s="7"/>
      <c r="F544" s="8" t="s">
        <v>0</v>
      </c>
      <c r="G544" s="8"/>
      <c r="H544" s="8"/>
      <c r="I544" s="9"/>
      <c r="J544" s="10" t="s">
        <v>1</v>
      </c>
      <c r="K544" s="11"/>
      <c r="L544" s="12"/>
      <c r="M544" s="13"/>
      <c r="N544" s="14" t="s">
        <v>2</v>
      </c>
      <c r="O544" s="15"/>
      <c r="P544" s="102"/>
    </row>
    <row r="545" spans="1:16" x14ac:dyDescent="0.25">
      <c r="A545" s="1"/>
      <c r="B545" s="6"/>
      <c r="C545" s="7"/>
      <c r="D545" s="7"/>
      <c r="E545" s="103" t="s">
        <v>48</v>
      </c>
      <c r="F545" s="103"/>
      <c r="G545" s="103"/>
      <c r="H545" s="103"/>
      <c r="I545" s="104"/>
      <c r="J545" s="105">
        <v>610</v>
      </c>
      <c r="K545" s="106"/>
      <c r="L545" s="107"/>
      <c r="M545" s="13"/>
      <c r="N545" s="108" t="s">
        <v>76</v>
      </c>
      <c r="O545" s="109"/>
      <c r="P545" s="102"/>
    </row>
    <row r="546" spans="1:16" ht="18" x14ac:dyDescent="0.25">
      <c r="A546" s="1"/>
      <c r="B546" s="6"/>
      <c r="C546" s="7"/>
      <c r="D546" s="7"/>
      <c r="E546" s="7"/>
      <c r="F546" s="21" t="s">
        <v>5</v>
      </c>
      <c r="G546" s="21"/>
      <c r="H546" s="21"/>
      <c r="I546" s="21"/>
      <c r="J546" s="7"/>
      <c r="K546" s="7"/>
      <c r="L546" s="7"/>
      <c r="M546" s="7"/>
      <c r="N546" s="7"/>
      <c r="O546" s="7"/>
      <c r="P546" s="102"/>
    </row>
    <row r="547" spans="1:16" x14ac:dyDescent="0.25">
      <c r="A547" s="1"/>
      <c r="B547" s="6"/>
      <c r="C547" s="7"/>
      <c r="D547" s="7"/>
      <c r="E547" s="7"/>
      <c r="F547" s="23" t="s">
        <v>6</v>
      </c>
      <c r="G547" s="23"/>
      <c r="H547" s="23"/>
      <c r="I547" s="110"/>
      <c r="J547" s="111" t="s">
        <v>7</v>
      </c>
      <c r="K547" s="112"/>
      <c r="L547" s="113"/>
      <c r="M547" s="7"/>
      <c r="N547" s="14" t="s">
        <v>8</v>
      </c>
      <c r="O547" s="15"/>
      <c r="P547" s="102"/>
    </row>
    <row r="548" spans="1:16" x14ac:dyDescent="0.25">
      <c r="A548" s="1"/>
      <c r="B548" s="6"/>
      <c r="C548" s="28" t="s">
        <v>9</v>
      </c>
      <c r="D548" s="7"/>
      <c r="E548" s="7"/>
      <c r="F548" s="7"/>
      <c r="G548" s="7"/>
      <c r="H548" s="7"/>
      <c r="I548" s="7"/>
      <c r="J548" s="114">
        <v>44749</v>
      </c>
      <c r="K548" s="30"/>
      <c r="L548" s="31"/>
      <c r="M548" s="7"/>
      <c r="N548" s="32" t="s">
        <v>10</v>
      </c>
      <c r="O548" s="109"/>
      <c r="P548" s="102"/>
    </row>
    <row r="549" spans="1:16" x14ac:dyDescent="0.25">
      <c r="A549" s="1"/>
      <c r="B549" s="6"/>
      <c r="C549" s="28" t="s">
        <v>11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102"/>
    </row>
    <row r="550" spans="1:16" x14ac:dyDescent="0.25">
      <c r="A550" s="1"/>
      <c r="B550" s="6"/>
      <c r="C550" s="34" t="s">
        <v>12</v>
      </c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102"/>
    </row>
    <row r="551" spans="1:16" x14ac:dyDescent="0.25">
      <c r="A551" s="1"/>
      <c r="B551" s="6"/>
      <c r="C551" s="19" t="s">
        <v>77</v>
      </c>
      <c r="D551" s="132"/>
      <c r="E551" s="132"/>
      <c r="F551" s="115" t="s">
        <v>78</v>
      </c>
      <c r="G551" s="115"/>
      <c r="H551" s="115" t="s">
        <v>79</v>
      </c>
      <c r="I551" s="20"/>
      <c r="J551" s="7"/>
      <c r="K551" s="14" t="s">
        <v>14</v>
      </c>
      <c r="L551" s="38"/>
      <c r="M551" s="38"/>
      <c r="N551" s="38"/>
      <c r="O551" s="15"/>
      <c r="P551" s="102"/>
    </row>
    <row r="552" spans="1:16" x14ac:dyDescent="0.25">
      <c r="A552" s="1"/>
      <c r="B552" s="39"/>
      <c r="C552" s="116" t="s">
        <v>15</v>
      </c>
      <c r="D552" s="117"/>
      <c r="E552" s="118"/>
      <c r="F552" s="116" t="s">
        <v>16</v>
      </c>
      <c r="G552" s="118"/>
      <c r="H552" s="116" t="s">
        <v>17</v>
      </c>
      <c r="I552" s="118"/>
      <c r="J552" s="7"/>
      <c r="K552" s="119">
        <v>19107010440198</v>
      </c>
      <c r="L552" s="120"/>
      <c r="M552" s="120"/>
      <c r="N552" s="120"/>
      <c r="O552" s="121"/>
      <c r="P552" s="102"/>
    </row>
    <row r="553" spans="1:16" x14ac:dyDescent="0.25">
      <c r="B553" s="6"/>
      <c r="C553" s="7"/>
      <c r="D553" s="7"/>
      <c r="E553" s="7"/>
      <c r="F553" s="7"/>
      <c r="G553" s="7"/>
      <c r="H553" s="7"/>
      <c r="I553" s="7"/>
      <c r="J553" s="7"/>
      <c r="K553" s="51"/>
      <c r="L553" s="7"/>
      <c r="M553" s="7"/>
      <c r="N553" s="7"/>
      <c r="O553" s="7"/>
      <c r="P553" s="102"/>
    </row>
    <row r="554" spans="1:16" x14ac:dyDescent="0.25">
      <c r="B554" s="6"/>
      <c r="C554" s="3"/>
      <c r="D554" s="4"/>
      <c r="E554" s="4"/>
      <c r="F554" s="4"/>
      <c r="G554" s="4"/>
      <c r="H554" s="4"/>
      <c r="I554" s="4"/>
      <c r="J554" s="5"/>
      <c r="K554" s="7"/>
      <c r="L554" s="3"/>
      <c r="M554" s="4"/>
      <c r="N554" s="4"/>
      <c r="O554" s="5"/>
      <c r="P554" s="102"/>
    </row>
    <row r="555" spans="1:16" x14ac:dyDescent="0.25">
      <c r="B555" s="6"/>
      <c r="C555" s="88"/>
      <c r="D555" s="89"/>
      <c r="E555" s="89"/>
      <c r="F555" s="45" t="s">
        <v>51</v>
      </c>
      <c r="G555" s="45"/>
      <c r="H555" s="89"/>
      <c r="I555" s="89"/>
      <c r="J555" s="90"/>
      <c r="K555" s="7"/>
      <c r="L555" s="44" t="s">
        <v>66</v>
      </c>
      <c r="M555" s="122"/>
      <c r="N555" s="123" t="s">
        <v>70</v>
      </c>
      <c r="O555" s="48" t="s">
        <v>45</v>
      </c>
      <c r="P555" s="102"/>
    </row>
    <row r="556" spans="1:16" x14ac:dyDescent="0.25">
      <c r="B556" s="6"/>
      <c r="C556" s="116" t="s">
        <v>21</v>
      </c>
      <c r="D556" s="117"/>
      <c r="E556" s="117"/>
      <c r="F556" s="117"/>
      <c r="G556" s="117"/>
      <c r="H556" s="117"/>
      <c r="I556" s="117"/>
      <c r="J556" s="118"/>
      <c r="K556" s="7"/>
      <c r="L556" s="116" t="s">
        <v>22</v>
      </c>
      <c r="M556" s="117"/>
      <c r="N556" s="49" t="s">
        <v>23</v>
      </c>
      <c r="O556" s="50" t="s">
        <v>24</v>
      </c>
      <c r="P556" s="102"/>
    </row>
    <row r="557" spans="1:16" x14ac:dyDescent="0.25"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102"/>
    </row>
    <row r="558" spans="1:16" x14ac:dyDescent="0.25">
      <c r="B558" s="6"/>
      <c r="C558" s="52" t="s">
        <v>26</v>
      </c>
      <c r="D558" s="53"/>
      <c r="E558" s="54">
        <f>N564</f>
        <v>150</v>
      </c>
      <c r="F558" s="124" t="s">
        <v>54</v>
      </c>
      <c r="G558" s="125"/>
      <c r="H558" s="125"/>
      <c r="I558" s="125"/>
      <c r="J558" s="125"/>
      <c r="K558" s="125"/>
      <c r="L558" s="125"/>
      <c r="M558" s="125"/>
      <c r="N558" s="125"/>
      <c r="O558" s="126"/>
      <c r="P558" s="102"/>
    </row>
    <row r="559" spans="1:16" x14ac:dyDescent="0.25"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102"/>
    </row>
    <row r="560" spans="1:16" x14ac:dyDescent="0.25">
      <c r="B560" s="6"/>
      <c r="C560" s="7"/>
      <c r="D560" s="58" t="s">
        <v>28</v>
      </c>
      <c r="E560" s="58" t="s">
        <v>29</v>
      </c>
      <c r="F560" s="59" t="s">
        <v>30</v>
      </c>
      <c r="G560" s="59"/>
      <c r="H560" s="59"/>
      <c r="I560" s="59"/>
      <c r="J560" s="59" t="s">
        <v>31</v>
      </c>
      <c r="K560" s="59"/>
      <c r="L560" s="59"/>
      <c r="M560" s="60"/>
      <c r="N560" s="59" t="s">
        <v>32</v>
      </c>
      <c r="O560" s="59"/>
      <c r="P560" s="102"/>
    </row>
    <row r="561" spans="2:16" x14ac:dyDescent="0.25">
      <c r="B561" s="6"/>
      <c r="C561" s="7"/>
      <c r="D561" s="61">
        <v>1</v>
      </c>
      <c r="E561" s="61" t="s">
        <v>33</v>
      </c>
      <c r="F561" s="62" t="s">
        <v>34</v>
      </c>
      <c r="G561" s="63"/>
      <c r="H561" s="63"/>
      <c r="I561" s="64"/>
      <c r="J561" s="65">
        <v>150</v>
      </c>
      <c r="K561" s="66"/>
      <c r="L561" s="67"/>
      <c r="M561" s="68"/>
      <c r="N561" s="69">
        <f>+D561*J561</f>
        <v>150</v>
      </c>
      <c r="O561" s="70"/>
      <c r="P561" s="102"/>
    </row>
    <row r="562" spans="2:16" x14ac:dyDescent="0.25">
      <c r="B562" s="6"/>
      <c r="C562" s="7"/>
      <c r="D562" s="71"/>
      <c r="E562" s="71"/>
      <c r="F562" s="72" t="s">
        <v>35</v>
      </c>
      <c r="G562" s="73"/>
      <c r="H562" s="73"/>
      <c r="I562" s="74"/>
      <c r="J562" s="75"/>
      <c r="K562" s="76"/>
      <c r="L562" s="77"/>
      <c r="M562" s="78"/>
      <c r="N562" s="79">
        <f>+D562*J562</f>
        <v>0</v>
      </c>
      <c r="O562" s="80"/>
      <c r="P562" s="102"/>
    </row>
    <row r="563" spans="2:16" x14ac:dyDescent="0.25">
      <c r="B563" s="6"/>
      <c r="C563" s="7"/>
      <c r="D563" s="71"/>
      <c r="E563" s="71"/>
      <c r="F563" s="72"/>
      <c r="G563" s="73"/>
      <c r="H563" s="73"/>
      <c r="I563" s="74"/>
      <c r="J563" s="75"/>
      <c r="K563" s="76"/>
      <c r="L563" s="77"/>
      <c r="M563" s="78"/>
      <c r="N563" s="79">
        <f>+D563*J563</f>
        <v>0</v>
      </c>
      <c r="O563" s="80"/>
      <c r="P563" s="102"/>
    </row>
    <row r="564" spans="2:16" x14ac:dyDescent="0.25">
      <c r="B564" s="6"/>
      <c r="C564" s="7"/>
      <c r="D564" s="81"/>
      <c r="E564" s="81"/>
      <c r="F564" s="78"/>
      <c r="G564" s="78"/>
      <c r="H564" s="78"/>
      <c r="I564" s="78"/>
      <c r="J564" s="82"/>
      <c r="K564" s="83" t="s">
        <v>36</v>
      </c>
      <c r="L564" s="82"/>
      <c r="M564" s="78"/>
      <c r="N564" s="84">
        <f>SUM(N561:O563)</f>
        <v>150</v>
      </c>
      <c r="O564" s="84"/>
      <c r="P564" s="102"/>
    </row>
    <row r="565" spans="2:16" x14ac:dyDescent="0.25"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102"/>
    </row>
    <row r="566" spans="2:16" x14ac:dyDescent="0.25">
      <c r="B566" s="6"/>
      <c r="C566" s="7"/>
      <c r="D566" s="85" t="s">
        <v>37</v>
      </c>
      <c r="E566" s="86"/>
      <c r="F566" s="87"/>
      <c r="G566" s="85" t="s">
        <v>38</v>
      </c>
      <c r="H566" s="86"/>
      <c r="I566" s="87"/>
      <c r="J566" s="7"/>
      <c r="K566" s="7"/>
      <c r="L566" s="7"/>
      <c r="M566" s="7"/>
      <c r="N566" s="7"/>
      <c r="O566" s="7"/>
      <c r="P566" s="102"/>
    </row>
    <row r="567" spans="2:16" x14ac:dyDescent="0.25">
      <c r="B567" s="6"/>
      <c r="C567" s="7"/>
      <c r="D567" s="6"/>
      <c r="E567" s="7"/>
      <c r="F567" s="16"/>
      <c r="G567" s="6"/>
      <c r="H567" s="7"/>
      <c r="I567" s="16"/>
      <c r="J567" s="7"/>
      <c r="K567" s="7"/>
      <c r="L567" s="7"/>
      <c r="M567" s="7"/>
      <c r="N567" s="7"/>
      <c r="O567" s="7"/>
      <c r="P567" s="102"/>
    </row>
    <row r="568" spans="2:16" x14ac:dyDescent="0.25">
      <c r="B568" s="6"/>
      <c r="C568" s="7"/>
      <c r="D568" s="88"/>
      <c r="E568" s="89"/>
      <c r="F568" s="90"/>
      <c r="G568" s="6"/>
      <c r="H568" s="7"/>
      <c r="I568" s="16"/>
      <c r="J568" s="7"/>
      <c r="K568" s="7"/>
      <c r="L568" s="7"/>
      <c r="M568" s="7"/>
      <c r="N568" s="7"/>
      <c r="O568" s="7"/>
      <c r="P568" s="102"/>
    </row>
    <row r="569" spans="2:16" x14ac:dyDescent="0.25">
      <c r="B569" s="6"/>
      <c r="C569" s="7"/>
      <c r="D569" s="3"/>
      <c r="E569" s="4"/>
      <c r="F569" s="5"/>
      <c r="G569" s="6"/>
      <c r="H569" s="7"/>
      <c r="I569" s="16"/>
      <c r="J569" s="7"/>
      <c r="K569" s="7"/>
      <c r="L569" s="7"/>
      <c r="M569" s="7"/>
      <c r="N569" s="7"/>
      <c r="O569" s="7"/>
      <c r="P569" s="102"/>
    </row>
    <row r="570" spans="2:16" x14ac:dyDescent="0.25">
      <c r="B570" s="6"/>
      <c r="C570" s="7"/>
      <c r="D570" s="91" t="s">
        <v>56</v>
      </c>
      <c r="E570" s="92"/>
      <c r="F570" s="93"/>
      <c r="G570" s="6"/>
      <c r="H570" s="7"/>
      <c r="I570" s="16"/>
      <c r="J570" s="7"/>
      <c r="K570" s="7"/>
      <c r="L570" s="7"/>
      <c r="M570" s="7"/>
      <c r="N570" s="7"/>
      <c r="O570" s="7"/>
      <c r="P570" s="102"/>
    </row>
    <row r="571" spans="2:16" x14ac:dyDescent="0.25">
      <c r="B571" s="6"/>
      <c r="C571" s="7"/>
      <c r="D571" s="88"/>
      <c r="E571" s="89"/>
      <c r="F571" s="90"/>
      <c r="G571" s="88"/>
      <c r="H571" s="89"/>
      <c r="I571" s="90"/>
      <c r="J571" s="7"/>
      <c r="K571" s="7"/>
      <c r="L571" s="7"/>
      <c r="M571" s="7"/>
      <c r="N571" s="7"/>
      <c r="O571" s="7"/>
      <c r="P571" s="102"/>
    </row>
    <row r="572" spans="2:16" x14ac:dyDescent="0.25"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102"/>
    </row>
    <row r="573" spans="2:16" x14ac:dyDescent="0.25">
      <c r="B573" s="88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127"/>
    </row>
  </sheetData>
  <mergeCells count="557">
    <mergeCell ref="N564:O564"/>
    <mergeCell ref="D566:F566"/>
    <mergeCell ref="G566:I566"/>
    <mergeCell ref="D570:F570"/>
    <mergeCell ref="J561:L561"/>
    <mergeCell ref="N561:O561"/>
    <mergeCell ref="J562:L562"/>
    <mergeCell ref="N562:O562"/>
    <mergeCell ref="J563:L563"/>
    <mergeCell ref="N563:O563"/>
    <mergeCell ref="C556:J556"/>
    <mergeCell ref="L556:M556"/>
    <mergeCell ref="F558:O558"/>
    <mergeCell ref="F560:I560"/>
    <mergeCell ref="J560:L560"/>
    <mergeCell ref="N560:O560"/>
    <mergeCell ref="C552:E552"/>
    <mergeCell ref="F552:G552"/>
    <mergeCell ref="H552:I552"/>
    <mergeCell ref="K552:O552"/>
    <mergeCell ref="F555:G555"/>
    <mergeCell ref="L555:M555"/>
    <mergeCell ref="J548:L548"/>
    <mergeCell ref="N548:O548"/>
    <mergeCell ref="C550:O550"/>
    <mergeCell ref="C551:E551"/>
    <mergeCell ref="F551:G551"/>
    <mergeCell ref="H551:I551"/>
    <mergeCell ref="K551:O551"/>
    <mergeCell ref="E545:I545"/>
    <mergeCell ref="J545:L545"/>
    <mergeCell ref="N545:O545"/>
    <mergeCell ref="F546:I546"/>
    <mergeCell ref="F547:I547"/>
    <mergeCell ref="J547:L547"/>
    <mergeCell ref="N547:O547"/>
    <mergeCell ref="N531:O531"/>
    <mergeCell ref="D533:F533"/>
    <mergeCell ref="G533:I533"/>
    <mergeCell ref="D537:F537"/>
    <mergeCell ref="F544:I544"/>
    <mergeCell ref="J544:L544"/>
    <mergeCell ref="N544:O544"/>
    <mergeCell ref="J528:L528"/>
    <mergeCell ref="N528:O528"/>
    <mergeCell ref="J529:L529"/>
    <mergeCell ref="N529:O529"/>
    <mergeCell ref="J530:L530"/>
    <mergeCell ref="N530:O530"/>
    <mergeCell ref="F522:G522"/>
    <mergeCell ref="L522:M522"/>
    <mergeCell ref="C523:J523"/>
    <mergeCell ref="L523:M523"/>
    <mergeCell ref="F525:O525"/>
    <mergeCell ref="F527:I527"/>
    <mergeCell ref="J527:L527"/>
    <mergeCell ref="N527:O527"/>
    <mergeCell ref="J515:L515"/>
    <mergeCell ref="N515:O515"/>
    <mergeCell ref="C517:O517"/>
    <mergeCell ref="C518:I518"/>
    <mergeCell ref="K518:O518"/>
    <mergeCell ref="C519:E519"/>
    <mergeCell ref="F519:G519"/>
    <mergeCell ref="H519:I519"/>
    <mergeCell ref="K519:O519"/>
    <mergeCell ref="E512:I512"/>
    <mergeCell ref="J512:L512"/>
    <mergeCell ref="N512:O512"/>
    <mergeCell ref="F513:I513"/>
    <mergeCell ref="F514:I514"/>
    <mergeCell ref="J514:L514"/>
    <mergeCell ref="N514:O514"/>
    <mergeCell ref="N496:O496"/>
    <mergeCell ref="D498:F498"/>
    <mergeCell ref="G498:I498"/>
    <mergeCell ref="D502:F502"/>
    <mergeCell ref="F511:I511"/>
    <mergeCell ref="J511:L511"/>
    <mergeCell ref="N511:O511"/>
    <mergeCell ref="J493:L493"/>
    <mergeCell ref="N493:O493"/>
    <mergeCell ref="J494:L494"/>
    <mergeCell ref="N494:O494"/>
    <mergeCell ref="J495:L495"/>
    <mergeCell ref="N495:O495"/>
    <mergeCell ref="F487:G487"/>
    <mergeCell ref="L487:M487"/>
    <mergeCell ref="C488:J488"/>
    <mergeCell ref="L488:M488"/>
    <mergeCell ref="F490:O490"/>
    <mergeCell ref="F492:I492"/>
    <mergeCell ref="J492:L492"/>
    <mergeCell ref="N492:O492"/>
    <mergeCell ref="J480:L480"/>
    <mergeCell ref="N480:O480"/>
    <mergeCell ref="C482:O482"/>
    <mergeCell ref="C483:I483"/>
    <mergeCell ref="K483:O483"/>
    <mergeCell ref="C484:E484"/>
    <mergeCell ref="F484:G484"/>
    <mergeCell ref="H484:I484"/>
    <mergeCell ref="K484:O484"/>
    <mergeCell ref="E477:I477"/>
    <mergeCell ref="J477:L477"/>
    <mergeCell ref="N477:O477"/>
    <mergeCell ref="F478:I478"/>
    <mergeCell ref="F479:I479"/>
    <mergeCell ref="J479:L479"/>
    <mergeCell ref="N479:O479"/>
    <mergeCell ref="N463:O463"/>
    <mergeCell ref="D465:F465"/>
    <mergeCell ref="G465:I465"/>
    <mergeCell ref="D469:F469"/>
    <mergeCell ref="F476:I476"/>
    <mergeCell ref="J476:L476"/>
    <mergeCell ref="N476:O476"/>
    <mergeCell ref="J460:L460"/>
    <mergeCell ref="N460:O460"/>
    <mergeCell ref="J461:L461"/>
    <mergeCell ref="N461:O461"/>
    <mergeCell ref="J462:L462"/>
    <mergeCell ref="N462:O462"/>
    <mergeCell ref="F454:G454"/>
    <mergeCell ref="L454:M454"/>
    <mergeCell ref="C455:J455"/>
    <mergeCell ref="L455:M455"/>
    <mergeCell ref="F457:O457"/>
    <mergeCell ref="F459:I459"/>
    <mergeCell ref="J459:L459"/>
    <mergeCell ref="N459:O459"/>
    <mergeCell ref="J447:L447"/>
    <mergeCell ref="N447:O447"/>
    <mergeCell ref="C449:O449"/>
    <mergeCell ref="C450:I450"/>
    <mergeCell ref="K450:O450"/>
    <mergeCell ref="C451:E451"/>
    <mergeCell ref="F451:G451"/>
    <mergeCell ref="H451:I451"/>
    <mergeCell ref="K451:O451"/>
    <mergeCell ref="E444:I444"/>
    <mergeCell ref="J444:L444"/>
    <mergeCell ref="N444:O444"/>
    <mergeCell ref="F445:I445"/>
    <mergeCell ref="F446:I446"/>
    <mergeCell ref="J446:L446"/>
    <mergeCell ref="N446:O446"/>
    <mergeCell ref="N428:O428"/>
    <mergeCell ref="D430:F430"/>
    <mergeCell ref="G430:I430"/>
    <mergeCell ref="D434:F434"/>
    <mergeCell ref="F443:I443"/>
    <mergeCell ref="J443:L443"/>
    <mergeCell ref="N443:O443"/>
    <mergeCell ref="J425:L425"/>
    <mergeCell ref="N425:O425"/>
    <mergeCell ref="J426:L426"/>
    <mergeCell ref="N426:O426"/>
    <mergeCell ref="J427:L427"/>
    <mergeCell ref="N427:O427"/>
    <mergeCell ref="F419:G419"/>
    <mergeCell ref="L419:M419"/>
    <mergeCell ref="C420:J420"/>
    <mergeCell ref="L420:M420"/>
    <mergeCell ref="F422:O422"/>
    <mergeCell ref="F424:I424"/>
    <mergeCell ref="J424:L424"/>
    <mergeCell ref="N424:O424"/>
    <mergeCell ref="J412:L412"/>
    <mergeCell ref="N412:O412"/>
    <mergeCell ref="C414:O414"/>
    <mergeCell ref="C415:I415"/>
    <mergeCell ref="K415:O415"/>
    <mergeCell ref="C416:E416"/>
    <mergeCell ref="F416:G416"/>
    <mergeCell ref="H416:I416"/>
    <mergeCell ref="K416:O416"/>
    <mergeCell ref="E409:I409"/>
    <mergeCell ref="J409:L409"/>
    <mergeCell ref="N409:O409"/>
    <mergeCell ref="F410:I410"/>
    <mergeCell ref="F411:I411"/>
    <mergeCell ref="J411:L411"/>
    <mergeCell ref="N411:O411"/>
    <mergeCell ref="N395:O395"/>
    <mergeCell ref="D397:F397"/>
    <mergeCell ref="G397:I397"/>
    <mergeCell ref="D401:F401"/>
    <mergeCell ref="F408:I408"/>
    <mergeCell ref="J408:L408"/>
    <mergeCell ref="N408:O408"/>
    <mergeCell ref="J392:L392"/>
    <mergeCell ref="N392:O392"/>
    <mergeCell ref="J393:L393"/>
    <mergeCell ref="N393:O393"/>
    <mergeCell ref="J394:L394"/>
    <mergeCell ref="N394:O394"/>
    <mergeCell ref="F386:G386"/>
    <mergeCell ref="L386:M386"/>
    <mergeCell ref="C387:J387"/>
    <mergeCell ref="L387:M387"/>
    <mergeCell ref="F389:O389"/>
    <mergeCell ref="F391:I391"/>
    <mergeCell ref="J391:L391"/>
    <mergeCell ref="N391:O391"/>
    <mergeCell ref="J379:L379"/>
    <mergeCell ref="N379:O379"/>
    <mergeCell ref="C381:O381"/>
    <mergeCell ref="C382:I382"/>
    <mergeCell ref="K382:O382"/>
    <mergeCell ref="C383:E383"/>
    <mergeCell ref="F383:G383"/>
    <mergeCell ref="H383:I383"/>
    <mergeCell ref="K383:O383"/>
    <mergeCell ref="E376:I376"/>
    <mergeCell ref="J376:L376"/>
    <mergeCell ref="N376:O376"/>
    <mergeCell ref="F377:I377"/>
    <mergeCell ref="F378:I378"/>
    <mergeCell ref="J378:L378"/>
    <mergeCell ref="N378:O378"/>
    <mergeCell ref="N360:O360"/>
    <mergeCell ref="D362:F362"/>
    <mergeCell ref="G362:I362"/>
    <mergeCell ref="D366:F366"/>
    <mergeCell ref="F375:I375"/>
    <mergeCell ref="J375:L375"/>
    <mergeCell ref="N375:O375"/>
    <mergeCell ref="J357:L357"/>
    <mergeCell ref="N357:O357"/>
    <mergeCell ref="J358:L358"/>
    <mergeCell ref="N358:O358"/>
    <mergeCell ref="J359:L359"/>
    <mergeCell ref="N359:O359"/>
    <mergeCell ref="F351:G351"/>
    <mergeCell ref="L351:M351"/>
    <mergeCell ref="C352:J352"/>
    <mergeCell ref="L352:M352"/>
    <mergeCell ref="F354:O354"/>
    <mergeCell ref="F356:I356"/>
    <mergeCell ref="J356:L356"/>
    <mergeCell ref="N356:O356"/>
    <mergeCell ref="J344:L344"/>
    <mergeCell ref="N344:O344"/>
    <mergeCell ref="C346:O346"/>
    <mergeCell ref="C347:I347"/>
    <mergeCell ref="K347:O347"/>
    <mergeCell ref="C348:E348"/>
    <mergeCell ref="F348:G348"/>
    <mergeCell ref="H348:I348"/>
    <mergeCell ref="K348:O348"/>
    <mergeCell ref="E341:I341"/>
    <mergeCell ref="J341:L341"/>
    <mergeCell ref="N341:O341"/>
    <mergeCell ref="F342:I342"/>
    <mergeCell ref="F343:I343"/>
    <mergeCell ref="J343:L343"/>
    <mergeCell ref="N343:O343"/>
    <mergeCell ref="N327:O327"/>
    <mergeCell ref="D329:F329"/>
    <mergeCell ref="G329:I329"/>
    <mergeCell ref="D333:F333"/>
    <mergeCell ref="F340:I340"/>
    <mergeCell ref="J340:L340"/>
    <mergeCell ref="N340:O340"/>
    <mergeCell ref="J324:L324"/>
    <mergeCell ref="N324:O324"/>
    <mergeCell ref="J325:L325"/>
    <mergeCell ref="N325:O325"/>
    <mergeCell ref="J326:L326"/>
    <mergeCell ref="N326:O326"/>
    <mergeCell ref="F318:G318"/>
    <mergeCell ref="L318:M318"/>
    <mergeCell ref="C319:J319"/>
    <mergeCell ref="L319:M319"/>
    <mergeCell ref="F321:O321"/>
    <mergeCell ref="F323:I323"/>
    <mergeCell ref="J323:L323"/>
    <mergeCell ref="N323:O323"/>
    <mergeCell ref="J311:L311"/>
    <mergeCell ref="N311:O311"/>
    <mergeCell ref="C313:O313"/>
    <mergeCell ref="C314:I314"/>
    <mergeCell ref="K314:O314"/>
    <mergeCell ref="C315:E315"/>
    <mergeCell ref="F315:G315"/>
    <mergeCell ref="H315:I315"/>
    <mergeCell ref="K315:O315"/>
    <mergeCell ref="E308:I308"/>
    <mergeCell ref="J308:L308"/>
    <mergeCell ref="N308:O308"/>
    <mergeCell ref="F309:I309"/>
    <mergeCell ref="F310:I310"/>
    <mergeCell ref="J310:L310"/>
    <mergeCell ref="N310:O310"/>
    <mergeCell ref="N292:O292"/>
    <mergeCell ref="D294:F294"/>
    <mergeCell ref="G294:I294"/>
    <mergeCell ref="D298:F298"/>
    <mergeCell ref="F307:I307"/>
    <mergeCell ref="J307:L307"/>
    <mergeCell ref="N307:O307"/>
    <mergeCell ref="J289:L289"/>
    <mergeCell ref="N289:O289"/>
    <mergeCell ref="J290:L290"/>
    <mergeCell ref="N290:O290"/>
    <mergeCell ref="J291:L291"/>
    <mergeCell ref="N291:O291"/>
    <mergeCell ref="F283:G283"/>
    <mergeCell ref="L283:M283"/>
    <mergeCell ref="C284:J284"/>
    <mergeCell ref="L284:M284"/>
    <mergeCell ref="F286:O286"/>
    <mergeCell ref="F288:I288"/>
    <mergeCell ref="J288:L288"/>
    <mergeCell ref="N288:O288"/>
    <mergeCell ref="J276:L276"/>
    <mergeCell ref="N276:O276"/>
    <mergeCell ref="C278:O278"/>
    <mergeCell ref="C279:I279"/>
    <mergeCell ref="K279:O279"/>
    <mergeCell ref="C280:E280"/>
    <mergeCell ref="F280:G280"/>
    <mergeCell ref="H280:I280"/>
    <mergeCell ref="K280:O280"/>
    <mergeCell ref="E273:I273"/>
    <mergeCell ref="J273:L273"/>
    <mergeCell ref="N273:O273"/>
    <mergeCell ref="F274:I274"/>
    <mergeCell ref="F275:I275"/>
    <mergeCell ref="J275:L275"/>
    <mergeCell ref="N275:O275"/>
    <mergeCell ref="N259:O259"/>
    <mergeCell ref="D261:F261"/>
    <mergeCell ref="G261:I261"/>
    <mergeCell ref="D265:F265"/>
    <mergeCell ref="F272:I272"/>
    <mergeCell ref="J272:L272"/>
    <mergeCell ref="N272:O272"/>
    <mergeCell ref="J256:L256"/>
    <mergeCell ref="N256:O256"/>
    <mergeCell ref="J257:L257"/>
    <mergeCell ref="N257:O257"/>
    <mergeCell ref="J258:L258"/>
    <mergeCell ref="N258:O258"/>
    <mergeCell ref="F250:G250"/>
    <mergeCell ref="L250:M250"/>
    <mergeCell ref="C251:J251"/>
    <mergeCell ref="L251:M251"/>
    <mergeCell ref="F253:O253"/>
    <mergeCell ref="F255:I255"/>
    <mergeCell ref="J255:L255"/>
    <mergeCell ref="N255:O255"/>
    <mergeCell ref="J243:L243"/>
    <mergeCell ref="N243:O243"/>
    <mergeCell ref="C245:O245"/>
    <mergeCell ref="C246:I246"/>
    <mergeCell ref="K246:O246"/>
    <mergeCell ref="C247:E247"/>
    <mergeCell ref="F247:G247"/>
    <mergeCell ref="H247:I247"/>
    <mergeCell ref="K247:O247"/>
    <mergeCell ref="E240:I240"/>
    <mergeCell ref="J240:L240"/>
    <mergeCell ref="N240:O240"/>
    <mergeCell ref="F241:I241"/>
    <mergeCell ref="F242:I242"/>
    <mergeCell ref="J242:L242"/>
    <mergeCell ref="N242:O242"/>
    <mergeCell ref="N223:O223"/>
    <mergeCell ref="D225:F225"/>
    <mergeCell ref="G225:I225"/>
    <mergeCell ref="D229:F229"/>
    <mergeCell ref="F239:I239"/>
    <mergeCell ref="J239:L239"/>
    <mergeCell ref="N239:O239"/>
    <mergeCell ref="J220:L220"/>
    <mergeCell ref="N220:O220"/>
    <mergeCell ref="J221:L221"/>
    <mergeCell ref="N221:O221"/>
    <mergeCell ref="J222:L222"/>
    <mergeCell ref="N222:O222"/>
    <mergeCell ref="F214:G214"/>
    <mergeCell ref="L214:M214"/>
    <mergeCell ref="C215:J215"/>
    <mergeCell ref="L215:M215"/>
    <mergeCell ref="F217:O217"/>
    <mergeCell ref="F219:I219"/>
    <mergeCell ref="J219:L219"/>
    <mergeCell ref="N219:O219"/>
    <mergeCell ref="J207:L207"/>
    <mergeCell ref="N207:O207"/>
    <mergeCell ref="C209:O209"/>
    <mergeCell ref="C210:I210"/>
    <mergeCell ref="K210:O210"/>
    <mergeCell ref="C211:E211"/>
    <mergeCell ref="F211:G211"/>
    <mergeCell ref="H211:I211"/>
    <mergeCell ref="K211:O211"/>
    <mergeCell ref="E204:I204"/>
    <mergeCell ref="J204:L204"/>
    <mergeCell ref="N204:O204"/>
    <mergeCell ref="F205:I205"/>
    <mergeCell ref="F206:I206"/>
    <mergeCell ref="J206:L206"/>
    <mergeCell ref="N206:O206"/>
    <mergeCell ref="N190:O190"/>
    <mergeCell ref="D192:F192"/>
    <mergeCell ref="G192:I192"/>
    <mergeCell ref="D196:F196"/>
    <mergeCell ref="F203:I203"/>
    <mergeCell ref="J203:L203"/>
    <mergeCell ref="N203:O203"/>
    <mergeCell ref="J187:L187"/>
    <mergeCell ref="N187:O187"/>
    <mergeCell ref="J188:L188"/>
    <mergeCell ref="N188:O188"/>
    <mergeCell ref="J189:L189"/>
    <mergeCell ref="N189:O189"/>
    <mergeCell ref="F181:G181"/>
    <mergeCell ref="L181:M181"/>
    <mergeCell ref="C182:J182"/>
    <mergeCell ref="L182:M182"/>
    <mergeCell ref="F184:O184"/>
    <mergeCell ref="F186:I186"/>
    <mergeCell ref="J186:L186"/>
    <mergeCell ref="N186:O186"/>
    <mergeCell ref="J174:L174"/>
    <mergeCell ref="N174:O174"/>
    <mergeCell ref="C176:O176"/>
    <mergeCell ref="C177:I177"/>
    <mergeCell ref="K177:O177"/>
    <mergeCell ref="C178:E178"/>
    <mergeCell ref="F178:G178"/>
    <mergeCell ref="H178:I178"/>
    <mergeCell ref="K178:O178"/>
    <mergeCell ref="E171:I171"/>
    <mergeCell ref="J171:L171"/>
    <mergeCell ref="N171:O171"/>
    <mergeCell ref="F172:I172"/>
    <mergeCell ref="F173:I173"/>
    <mergeCell ref="J173:L173"/>
    <mergeCell ref="N173:O173"/>
    <mergeCell ref="N157:O157"/>
    <mergeCell ref="D159:F159"/>
    <mergeCell ref="G159:I159"/>
    <mergeCell ref="D163:F163"/>
    <mergeCell ref="F170:I170"/>
    <mergeCell ref="J170:L170"/>
    <mergeCell ref="N170:O170"/>
    <mergeCell ref="J154:L154"/>
    <mergeCell ref="N154:O154"/>
    <mergeCell ref="J155:L155"/>
    <mergeCell ref="N155:O155"/>
    <mergeCell ref="J156:L156"/>
    <mergeCell ref="N156:O156"/>
    <mergeCell ref="F148:G148"/>
    <mergeCell ref="L148:M148"/>
    <mergeCell ref="C149:J149"/>
    <mergeCell ref="L149:M149"/>
    <mergeCell ref="F151:O151"/>
    <mergeCell ref="F153:I153"/>
    <mergeCell ref="J153:L153"/>
    <mergeCell ref="N153:O153"/>
    <mergeCell ref="J141:L141"/>
    <mergeCell ref="N141:O141"/>
    <mergeCell ref="C143:O143"/>
    <mergeCell ref="C144:I144"/>
    <mergeCell ref="K144:O144"/>
    <mergeCell ref="C145:E145"/>
    <mergeCell ref="F145:G145"/>
    <mergeCell ref="H145:I145"/>
    <mergeCell ref="K145:O145"/>
    <mergeCell ref="E138:I138"/>
    <mergeCell ref="J138:L138"/>
    <mergeCell ref="N138:O138"/>
    <mergeCell ref="F139:I139"/>
    <mergeCell ref="F140:I140"/>
    <mergeCell ref="J140:L140"/>
    <mergeCell ref="N140:O140"/>
    <mergeCell ref="N56:O56"/>
    <mergeCell ref="D58:F58"/>
    <mergeCell ref="G58:I58"/>
    <mergeCell ref="D62:F62"/>
    <mergeCell ref="F137:I137"/>
    <mergeCell ref="J137:L137"/>
    <mergeCell ref="N137:O137"/>
    <mergeCell ref="J53:L53"/>
    <mergeCell ref="N53:O53"/>
    <mergeCell ref="J54:L54"/>
    <mergeCell ref="N54:O54"/>
    <mergeCell ref="J55:L55"/>
    <mergeCell ref="N55:O55"/>
    <mergeCell ref="C47:J47"/>
    <mergeCell ref="L47:M47"/>
    <mergeCell ref="C48:J48"/>
    <mergeCell ref="L48:M48"/>
    <mergeCell ref="F50:O50"/>
    <mergeCell ref="F52:I52"/>
    <mergeCell ref="J52:L52"/>
    <mergeCell ref="N52:O52"/>
    <mergeCell ref="J40:L40"/>
    <mergeCell ref="N40:O40"/>
    <mergeCell ref="C42:O42"/>
    <mergeCell ref="C43:I43"/>
    <mergeCell ref="K43:O43"/>
    <mergeCell ref="C44:E44"/>
    <mergeCell ref="F44:G44"/>
    <mergeCell ref="H44:I44"/>
    <mergeCell ref="K44:O44"/>
    <mergeCell ref="E37:I37"/>
    <mergeCell ref="J37:L37"/>
    <mergeCell ref="N37:O37"/>
    <mergeCell ref="F38:I38"/>
    <mergeCell ref="F39:I39"/>
    <mergeCell ref="J39:L39"/>
    <mergeCell ref="N39:O39"/>
    <mergeCell ref="N23:O23"/>
    <mergeCell ref="D25:F25"/>
    <mergeCell ref="G25:I25"/>
    <mergeCell ref="D29:F29"/>
    <mergeCell ref="F36:I36"/>
    <mergeCell ref="J36:L36"/>
    <mergeCell ref="N36:O36"/>
    <mergeCell ref="J20:L20"/>
    <mergeCell ref="N20:O20"/>
    <mergeCell ref="J21:L21"/>
    <mergeCell ref="N21:O21"/>
    <mergeCell ref="J22:L22"/>
    <mergeCell ref="N22:O22"/>
    <mergeCell ref="C14:J14"/>
    <mergeCell ref="L14:M14"/>
    <mergeCell ref="C15:J15"/>
    <mergeCell ref="L15:M15"/>
    <mergeCell ref="F17:O17"/>
    <mergeCell ref="F19:I19"/>
    <mergeCell ref="J19:L19"/>
    <mergeCell ref="N19:O19"/>
    <mergeCell ref="C9:O9"/>
    <mergeCell ref="C10:I10"/>
    <mergeCell ref="K10:O10"/>
    <mergeCell ref="C11:E11"/>
    <mergeCell ref="F11:G11"/>
    <mergeCell ref="H11:I11"/>
    <mergeCell ref="K11:O11"/>
    <mergeCell ref="F5:I5"/>
    <mergeCell ref="F6:I6"/>
    <mergeCell ref="J6:L6"/>
    <mergeCell ref="N6:O6"/>
    <mergeCell ref="J7:L7"/>
    <mergeCell ref="N7:O7"/>
    <mergeCell ref="F3:I3"/>
    <mergeCell ref="J3:L3"/>
    <mergeCell ref="N3:O3"/>
    <mergeCell ref="E4:I4"/>
    <mergeCell ref="J4:L4"/>
    <mergeCell ref="N4:O4"/>
  </mergeCells>
  <pageMargins left="0.2" right="0.11811023622047245" top="0.15748031496062992" bottom="0.15748031496062992" header="0.31496062992125984" footer="0.31496062992125984"/>
  <pageSetup scale="8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CBTA44</dc:creator>
  <cp:lastModifiedBy>CBTA44</cp:lastModifiedBy>
  <cp:lastPrinted>2026-05-13T18:07:11Z</cp:lastPrinted>
  <dcterms:created xsi:type="dcterms:W3CDTF">2026-05-13T18:05:07Z</dcterms:created>
  <dcterms:modified xsi:type="dcterms:W3CDTF">2026-05-13T18:07:37Z</dcterms:modified>
</cp:coreProperties>
</file>